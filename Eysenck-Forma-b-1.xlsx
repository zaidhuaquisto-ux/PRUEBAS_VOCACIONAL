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4"/>
    <sheet state="visible" name="FORMAB" sheetId="2" r:id="rId5"/>
    <sheet state="visible" name="RESULTADOS" sheetId="3" r:id="rId6"/>
  </sheets>
  <definedNames/>
  <calcPr/>
  <extLst>
    <ext uri="GoogleSheetsCustomDataVersion2">
      <go:sheetsCustomData xmlns:go="http://customooxmlschemas.google.com/" r:id="rId7" roundtripDataChecksum="+/iZI62NGqfT6ppAu4sbKlKPZ17Ke/Nro8VNzGqfXeI="/>
    </ext>
  </extLst>
</workbook>
</file>

<file path=xl/sharedStrings.xml><?xml version="1.0" encoding="utf-8"?>
<sst xmlns="http://schemas.openxmlformats.org/spreadsheetml/2006/main" count="231" uniqueCount="133">
  <si>
    <r>
      <rPr>
        <rFont val="Algerian"/>
        <b/>
        <color rgb="FFFFFF00"/>
        <sz val="36.0"/>
      </rPr>
      <t>I</t>
    </r>
    <r>
      <rPr>
        <rFont val="Algerian"/>
        <b/>
        <color rgb="FFFFFF00"/>
        <sz val="22.0"/>
      </rPr>
      <t xml:space="preserve">NVENTARIO DE </t>
    </r>
    <r>
      <rPr>
        <rFont val="Algerian"/>
        <b/>
        <color rgb="FFFFFF00"/>
        <sz val="36.0"/>
      </rPr>
      <t>P</t>
    </r>
    <r>
      <rPr>
        <rFont val="Algerian"/>
        <b/>
        <color rgb="FFFFFF00"/>
        <sz val="22.0"/>
      </rPr>
      <t xml:space="preserve">ERSONALIDAD </t>
    </r>
    <r>
      <rPr>
        <rFont val="Algerian"/>
        <b/>
        <color rgb="FFFFFF00"/>
        <sz val="36.0"/>
      </rPr>
      <t>EYSENCK</t>
    </r>
  </si>
  <si>
    <t>EPQ - B</t>
  </si>
  <si>
    <t xml:space="preserve">APELLIDOS Y NOMBRES: </t>
  </si>
  <si>
    <t>Nathalie Estigarribia</t>
  </si>
  <si>
    <t>EDAD</t>
  </si>
  <si>
    <t>FECHA</t>
  </si>
  <si>
    <t>OCUPACION</t>
  </si>
  <si>
    <t>Psicologo</t>
  </si>
  <si>
    <t>GRADO</t>
  </si>
  <si>
    <t>x</t>
  </si>
  <si>
    <t>EXAMINADO POR</t>
  </si>
  <si>
    <t>Jaquelin martinez prado</t>
  </si>
  <si>
    <t>PRIMARIA</t>
  </si>
  <si>
    <t>SECUNDARIA</t>
  </si>
  <si>
    <t>SUPERIOR</t>
  </si>
  <si>
    <t>AQUÍ TIENE ALGUNAS PREGUNTAS SOBRE EL MODO COMO USTED SE COMPORTA, SIENTE Y ACTUA</t>
  </si>
  <si>
    <t>DESPUES DE CADA PREGUNTA COLOQUE UN 1 DEBAJO DE "SI" O "NO", SEGÚN SEA SU RESPUESTA</t>
  </si>
  <si>
    <t>Trate de decidir lo más rápidamente. No hay contestaciones correctas ni incorrectas.</t>
  </si>
  <si>
    <t>Nº</t>
  </si>
  <si>
    <t>Si</t>
  </si>
  <si>
    <t>No</t>
  </si>
  <si>
    <t>Le gusta la abundancia de excitación y bullicio a su alrededor?</t>
  </si>
  <si>
    <t>Alardea (se jacta) un poco a veces?</t>
  </si>
  <si>
    <t>ESCALA</t>
  </si>
  <si>
    <t>Tiene a menudo un sentimiento de intranquilidad, como si quisiera</t>
  </si>
  <si>
    <t>Es usted muy susceptible por algunas cosas?</t>
  </si>
  <si>
    <t>L</t>
  </si>
  <si>
    <t>algo, pero sin saber qué?</t>
  </si>
  <si>
    <t>Le gusta más quedarse en casa que ir a una fiesta aburrida?</t>
  </si>
  <si>
    <t>Tiene casi siempre una contestación lista "a la mano" cuando se le habla?</t>
  </si>
  <si>
    <t>Se pone a menudo inquieto que no puede permanecer sentado durante mucho rato en una silla?</t>
  </si>
  <si>
    <t>Se siente algunas veces feliz, otras triste sin una razón real?</t>
  </si>
  <si>
    <t>Le gusta planear las cosas cuidadosamente con mucha anticipación?</t>
  </si>
  <si>
    <t>DIMENSION</t>
  </si>
  <si>
    <t>Permanece usualmente retraído ( a) en fiestas y reuniones?</t>
  </si>
  <si>
    <t>Tiene a menudo mareos (vértigos)?</t>
  </si>
  <si>
    <t>N</t>
  </si>
  <si>
    <t>Cuando niño (a) hacía siempre inmediatamente lo que le decían sin renegar?</t>
  </si>
  <si>
    <t>Contesta siempre una carta personal, tan pronto como puede, después de haberla leído?.</t>
  </si>
  <si>
    <t>E</t>
  </si>
  <si>
    <t>Se enfada a menudo?</t>
  </si>
  <si>
    <t>Hace usted usualmente las cosas mejor resolviéndolas solo(a) que hablando a otros sobre ellas?</t>
  </si>
  <si>
    <t>Cuando lo (a) meten en una pelea, prefiere "sacar los trapos al aire" de una vez por</t>
  </si>
  <si>
    <t>Le falta frecuentemente aire, sin haber hecho un trabajo pesado?</t>
  </si>
  <si>
    <t>todas, en vez de quedar callado (a) esperando que las cosas se calmen solas?</t>
  </si>
  <si>
    <t>Es usted generalmente una persona tolerante, que no se molesta si las cosas no estan percfectas?</t>
  </si>
  <si>
    <t>Es usted triste, melancólico (a)?</t>
  </si>
  <si>
    <t>Sufre de los  "nervios"?</t>
  </si>
  <si>
    <t>Le gusta mezclarse con la gente?</t>
  </si>
  <si>
    <t>Le gustaría más planear que hacer cosas?</t>
  </si>
  <si>
    <t>Ha perdido a menudo el sueño por sus preocupaciones?</t>
  </si>
  <si>
    <t>Deja algunas veces para mañana, lo que debería hacer hoy día?</t>
  </si>
  <si>
    <t>Se pone a veces malhumorado (a)</t>
  </si>
  <si>
    <t>Se pone nervioso(a) en lugares tales como ascensores, trenes o túneles?</t>
  </si>
  <si>
    <t>Se catalogaría a sí  mismo(a) como despreocupado(a) o confiado a su suerte?</t>
  </si>
  <si>
    <t>Cuando hace nuevos amigos, ¿es usted quien inicia la relación o invita a que se produzca?</t>
  </si>
  <si>
    <t>Se decide a menudo demasiado tarde?</t>
  </si>
  <si>
    <t>Sufre fuertes dolores de cabeza?</t>
  </si>
  <si>
    <t>Le gusta trabajar solo (a)?</t>
  </si>
  <si>
    <t>Siente generalemente que las cosas se arreglarán por sí solas y que terminarán bien de algún modo?</t>
  </si>
  <si>
    <t>Se ha sentido a menudo apático (a) y cansado (a) sin razón?</t>
  </si>
  <si>
    <t>Le cuesta trabajo coger el sueño al acostarse en las noches?</t>
  </si>
  <si>
    <t>Es por el contrario animado (a) y jovial?</t>
  </si>
  <si>
    <t>Ha dicho alguna vez mentiras en su vida?</t>
  </si>
  <si>
    <t>Se ríe a menudo de chistes groseros?</t>
  </si>
  <si>
    <t>Dice algunas veces lo primero que se le viene a la cabeza?</t>
  </si>
  <si>
    <t>Se siente a menudo hastiado (a)?</t>
  </si>
  <si>
    <t>Se preocupa durante un tiempo demasiado largo, después de una experiencia embarazosa?</t>
  </si>
  <si>
    <t>Se siente incómodo (a) con vestidos que no son del diario?</t>
  </si>
  <si>
    <t>Se mantiene usualmente hermético (a) o encerrado (a) en sí msmo (a), excepto con amigos muy</t>
  </si>
  <si>
    <t>Se distrae (fantasea) a menudo cuando trata de prestar atención a algo?</t>
  </si>
  <si>
    <t>Intimos?</t>
  </si>
  <si>
    <t>Puede expresar en palabras fácilmente lo que piensa?</t>
  </si>
  <si>
    <t>Se crea a menudo problemas por hacer cosas sin pensar?</t>
  </si>
  <si>
    <t>Se abstrae (se pierde en sus pensamientos) a menudo?</t>
  </si>
  <si>
    <t>Le gusta contar chistes y referir historias graciosas a sus amigos?</t>
  </si>
  <si>
    <t>Está completamente tibre de prejuicios de cualquier tipo?</t>
  </si>
  <si>
    <t>Se le hace más difícil ganar que perder un juego?</t>
  </si>
  <si>
    <t>Le gustan las bromas?</t>
  </si>
  <si>
    <t>Se siente a menudo demasiado consciente de sí mismo(a) o poco natural cuando está con superiores?</t>
  </si>
  <si>
    <t>Piensa a menudo en su pasado?</t>
  </si>
  <si>
    <t xml:space="preserve">Cuando todas las probabilidades están contra usted, ¿piensa aún usualmente que vale la pena </t>
  </si>
  <si>
    <t>Le gusta la buena comida?</t>
  </si>
  <si>
    <t>probar suerte?</t>
  </si>
  <si>
    <t>Cuando se fastidia, necesita de algún(a) amigo(a) para hablar sobre ello?</t>
  </si>
  <si>
    <t>Siente "sensaciones" raras en el abdómen, antes de algún hecho importante?</t>
  </si>
  <si>
    <t>Le molesta vender cosas o pedir dineroa la gente para alguna buena causa?</t>
  </si>
  <si>
    <t>EXAMINADO POR:</t>
  </si>
  <si>
    <t>VALIDO</t>
  </si>
  <si>
    <t>ALTAMENTE ESTABLE</t>
  </si>
  <si>
    <t xml:space="preserve">  ALTAMENTE INTROVERTIDO</t>
  </si>
  <si>
    <t>INVALIDO</t>
  </si>
  <si>
    <t>ALTAMENTE ESTABLE  ALTAMENTE INTROVERTIDO</t>
  </si>
  <si>
    <t>FLEMATICO</t>
  </si>
  <si>
    <t>FUERTE EQUILIBRADO-LENTO</t>
  </si>
  <si>
    <t>Si L&gt;4 = INVALIDO; Si L &lt; 4 = VALIDO</t>
  </si>
  <si>
    <t xml:space="preserve">TENDIENTE A ESTABLE  ALTAMENTE INTROVERTIDO </t>
  </si>
  <si>
    <t>TENDIENTE A ESTABLE  TENDIENTE A INTROVERSION</t>
  </si>
  <si>
    <t>INESTABLE</t>
  </si>
  <si>
    <t>ALTAMENTE INESTABLE  ALTAMENTE EXTROVERTIDO</t>
  </si>
  <si>
    <t>COLERICO</t>
  </si>
  <si>
    <t>TENDIENTE A INESTABLE  TENDIENTE A EXTROVERSION</t>
  </si>
  <si>
    <t>TENDIENTE A ESTABLE</t>
  </si>
  <si>
    <t>TENDIENTE A INESTABLE  ALTAMENTE EXTROVERTIDO</t>
  </si>
  <si>
    <t>TENDIENTE A ESTABLE  TENDIENTE A EXTROVERSION</t>
  </si>
  <si>
    <t>SANGUINEO</t>
  </si>
  <si>
    <t>MELANCOLICO</t>
  </si>
  <si>
    <t>ALTAMENTE ESTABLE  ALTAMENTE EXTROVERTIDO</t>
  </si>
  <si>
    <t>TENDIENTE A ESTABLE  ALTAMENTE EXTROVERTIDO</t>
  </si>
  <si>
    <t>Altamente</t>
  </si>
  <si>
    <t xml:space="preserve">  TENDIENTE A LA INTROVERSION</t>
  </si>
  <si>
    <t>ALTAMENTE INESTABLE  ALTAMENTE INTROVERTIDO</t>
  </si>
  <si>
    <t>TENDIENTE A INESTABLE</t>
  </si>
  <si>
    <t>TENDIENTE A INESTABLE  ALTAMENTE INTROVERTIDO</t>
  </si>
  <si>
    <t>TENDIENTE A INESTABLE  TENDIENTE A INTROVERSION</t>
  </si>
  <si>
    <t xml:space="preserve">  TENDIENTE A LA EXTROVERSION</t>
  </si>
  <si>
    <t>0  1   2   3   4  5  6  7   8   9   10  11  12 13</t>
  </si>
  <si>
    <t>15  16  17  18   19   20   21   22   23   24</t>
  </si>
  <si>
    <t>ALTAMENTE INESTABLE</t>
  </si>
  <si>
    <t xml:space="preserve">  ALTAMENTE EXTROVERTIDO</t>
  </si>
  <si>
    <t>FUERTES EQUILIBRADOS LENTOS</t>
  </si>
  <si>
    <t>FUERTES Y DESEQUILIBRADOS</t>
  </si>
  <si>
    <t>FUERTES EQUILIBRADOS Y RAPIDOS</t>
  </si>
  <si>
    <t>DEBILES</t>
  </si>
  <si>
    <t>ESTABLE</t>
  </si>
  <si>
    <t>DIAGNOSTICO</t>
  </si>
  <si>
    <r>
      <rPr>
        <rFont val="Arial"/>
        <color theme="1"/>
        <sz val="10.0"/>
      </rPr>
      <t xml:space="preserve">Si </t>
    </r>
    <r>
      <rPr>
        <rFont val="Arial"/>
        <b/>
        <color theme="1"/>
        <sz val="12.0"/>
      </rPr>
      <t>N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</si>
  <si>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y </t>
    </r>
    <r>
      <rPr>
        <rFont val="Arial"/>
        <b/>
        <color theme="1"/>
        <sz val="12.0"/>
      </rPr>
      <t>E</t>
    </r>
    <r>
      <rPr>
        <rFont val="Arial"/>
        <color theme="1"/>
        <sz val="10.0"/>
      </rPr>
      <t xml:space="preserve"> =</t>
    </r>
  </si>
  <si>
    <t>es una persona con una tipología</t>
  </si>
  <si>
    <t>y corresponde al</t>
  </si>
  <si>
    <t>tipo</t>
  </si>
  <si>
    <t>Y presenta procesos neurodinámicos</t>
  </si>
  <si>
    <t>Examinador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</si>
</sst>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€&quot;_-;\-* #,##0.00\ &quot;€&quot;_-;_-* &quot;-&quot;??\ &quot;€&quot;_-;_-@"/>
  </numFmts>
  <fonts count="41">
    <font>
      <sz val="10.0"/>
      <color rgb="FF000000"/>
      <name val="Calibri"/>
      <scheme val="minor"/>
    </font>
    <font>
      <sz val="10.0"/>
      <color theme="1"/>
      <name val="Arial"/>
    </font>
    <font>
      <b/>
      <sz val="22.0"/>
      <color rgb="FFFFFF00"/>
      <name val="Algerian"/>
    </font>
    <font/>
    <font>
      <b/>
      <sz val="48.0"/>
      <color theme="0"/>
      <name val="Algerian"/>
    </font>
    <font>
      <b/>
      <sz val="22.0"/>
      <color theme="1"/>
      <name val="Algerian"/>
    </font>
    <font>
      <sz val="10.0"/>
      <color theme="1"/>
      <name val="Algerian"/>
    </font>
    <font>
      <b/>
      <sz val="14.0"/>
      <color rgb="FFFFFF00"/>
      <name val="Arial"/>
    </font>
    <font>
      <b/>
      <sz val="14.0"/>
      <color rgb="FFFFFFFF"/>
      <name val="Arial"/>
    </font>
    <font>
      <sz val="14.0"/>
      <color theme="1"/>
      <name val="Arial"/>
    </font>
    <font>
      <b/>
      <sz val="14.0"/>
      <color theme="0"/>
      <name val="Arial"/>
    </font>
    <font>
      <sz val="10.0"/>
      <color rgb="FFFFFF00"/>
      <name val="Arial"/>
    </font>
    <font>
      <sz val="1.0"/>
      <color rgb="FF205867"/>
      <name val="Arial"/>
    </font>
    <font>
      <b/>
      <sz val="10.0"/>
      <color rgb="FF0000FF"/>
      <name val="Arial"/>
    </font>
    <font>
      <b/>
      <sz val="11.0"/>
      <color rgb="FF0000FF"/>
      <name val="Arial"/>
    </font>
    <font>
      <b/>
      <sz val="10.0"/>
      <color theme="1"/>
      <name val="Arial"/>
    </font>
    <font>
      <b/>
      <sz val="12.0"/>
      <color rgb="FF0000FF"/>
      <name val="Arial"/>
    </font>
    <font>
      <b/>
      <sz val="14.0"/>
      <color rgb="FFFF0000"/>
      <name val="Arial"/>
    </font>
    <font>
      <b/>
      <sz val="14.0"/>
      <color theme="1"/>
      <name val="Arial"/>
    </font>
    <font>
      <b/>
      <sz val="12.0"/>
      <color rgb="FFFF0000"/>
      <name val="Arial"/>
    </font>
    <font>
      <sz val="10.0"/>
      <color rgb="FF0000FF"/>
      <name val="Arial"/>
    </font>
    <font>
      <b/>
      <sz val="11.0"/>
      <color rgb="FFFF0000"/>
      <name val="Arial"/>
    </font>
    <font>
      <b/>
      <sz val="12.0"/>
      <color theme="1"/>
      <name val="Arial"/>
    </font>
    <font>
      <b/>
      <sz val="16.0"/>
      <color theme="1"/>
      <name val="Arial"/>
    </font>
    <font>
      <sz val="12.0"/>
      <color theme="1"/>
      <name val="Arial"/>
    </font>
    <font>
      <sz val="9.0"/>
      <color rgb="FF0000FF"/>
      <name val="Arial"/>
    </font>
    <font>
      <b/>
      <sz val="10.0"/>
      <color rgb="FFFF0000"/>
      <name val="Arial"/>
    </font>
    <font>
      <sz val="10.0"/>
      <color rgb="FFCCFFFF"/>
      <name val="Arial"/>
    </font>
    <font>
      <sz val="3.0"/>
      <color rgb="FFCCFFFF"/>
      <name val="Arial"/>
    </font>
    <font>
      <sz val="3.0"/>
      <color theme="1"/>
      <name val="Arial"/>
    </font>
    <font>
      <sz val="10.0"/>
      <color rgb="FFFFFFFF"/>
      <name val="Arial"/>
    </font>
    <font>
      <b/>
      <sz val="3.0"/>
      <color rgb="FFCCFFFF"/>
      <name val="Arial"/>
    </font>
    <font>
      <sz val="8.0"/>
      <color theme="1"/>
      <name val="Arial"/>
    </font>
    <font>
      <b/>
      <sz val="18.0"/>
      <color theme="1"/>
      <name val="Arial"/>
    </font>
    <font>
      <sz val="10.0"/>
      <color rgb="FFFF0000"/>
      <name val="Arial"/>
    </font>
    <font>
      <b/>
      <sz val="13.0"/>
      <color theme="1"/>
      <name val="Arial"/>
    </font>
    <font>
      <b/>
      <sz val="14.0"/>
      <color rgb="FF0000FF"/>
      <name val="Arial"/>
    </font>
    <font>
      <sz val="6.0"/>
      <color rgb="FFFF0000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i/>
      <sz val="10.0"/>
      <color theme="1"/>
      <name val="Dancing Script"/>
    </font>
  </fonts>
  <fills count="8">
    <fill>
      <patternFill patternType="none"/>
    </fill>
    <fill>
      <patternFill patternType="lightGray"/>
    </fill>
    <fill>
      <patternFill patternType="solid">
        <fgColor rgb="FF205867"/>
        <bgColor rgb="FF205867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00FFFF"/>
        <bgColor rgb="FF00FFFF"/>
      </patternFill>
    </fill>
    <fill>
      <patternFill patternType="solid">
        <fgColor rgb="FF99CC00"/>
        <bgColor rgb="FF99CC00"/>
      </patternFill>
    </fill>
    <fill>
      <patternFill patternType="solid">
        <fgColor theme="0"/>
        <bgColor theme="0"/>
      </patternFill>
    </fill>
  </fills>
  <borders count="3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shrinkToFit="0" vertical="center" wrapText="0"/>
    </xf>
    <xf borderId="2" fillId="2" fontId="7" numFmtId="164" xfId="0" applyAlignment="1" applyBorder="1" applyFont="1" applyNumberFormat="1">
      <alignment horizontal="left" shrinkToFit="0" vertical="center" wrapText="1"/>
    </xf>
    <xf borderId="2" fillId="2" fontId="8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1" fillId="2" fontId="8" numFmtId="14" xfId="0" applyAlignment="1" applyBorder="1" applyFont="1" applyNumberFormat="1">
      <alignment horizontal="left" readingOrder="0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1" fillId="2" fontId="11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3" fontId="13" numFmtId="0" xfId="0" applyAlignment="1" applyBorder="1" applyFont="1">
      <alignment horizontal="left" shrinkToFit="0" vertical="bottom" wrapText="0"/>
    </xf>
    <xf borderId="2" fillId="4" fontId="14" numFmtId="0" xfId="0" applyAlignment="1" applyBorder="1" applyFill="1" applyFont="1">
      <alignment horizontal="center" shrinkToFit="0" vertical="bottom" wrapText="0"/>
    </xf>
    <xf borderId="1" fillId="3" fontId="15" numFmtId="0" xfId="0" applyAlignment="1" applyBorder="1" applyFont="1">
      <alignment horizontal="center" shrinkToFit="0" vertical="bottom" wrapText="0"/>
    </xf>
    <xf borderId="2" fillId="4" fontId="16" numFmtId="0" xfId="0" applyAlignment="1" applyBorder="1" applyFont="1">
      <alignment horizontal="center" shrinkToFit="0" vertical="bottom" wrapText="0"/>
    </xf>
    <xf borderId="1" fillId="3" fontId="17" numFmtId="0" xfId="0" applyAlignment="1" applyBorder="1" applyFont="1">
      <alignment horizontal="center" shrinkToFit="0" vertical="bottom" wrapText="0"/>
    </xf>
    <xf borderId="1" fillId="3" fontId="18" numFmtId="0" xfId="0" applyAlignment="1" applyBorder="1" applyFont="1">
      <alignment horizontal="center" shrinkToFit="0" vertical="bottom" wrapText="0"/>
    </xf>
    <xf borderId="1" fillId="3" fontId="9" numFmtId="0" xfId="0" applyAlignment="1" applyBorder="1" applyFont="1">
      <alignment horizontal="center" shrinkToFit="0" vertical="bottom" wrapText="0"/>
    </xf>
    <xf borderId="1" fillId="3" fontId="19" numFmtId="0" xfId="0" applyAlignment="1" applyBorder="1" applyFont="1">
      <alignment horizontal="center" shrinkToFit="0" vertical="bottom" wrapText="0"/>
    </xf>
    <xf borderId="2" fillId="3" fontId="20" numFmtId="0" xfId="0" applyAlignment="1" applyBorder="1" applyFont="1">
      <alignment horizontal="left" shrinkToFit="0" vertical="bottom" wrapText="0"/>
    </xf>
    <xf borderId="5" fillId="0" fontId="3" numFmtId="0" xfId="0" applyBorder="1" applyFont="1"/>
    <xf borderId="6" fillId="5" fontId="21" numFmtId="0" xfId="0" applyAlignment="1" applyBorder="1" applyFill="1" applyFont="1">
      <alignment horizontal="center" shrinkToFit="0" vertical="bottom" wrapText="0"/>
    </xf>
    <xf borderId="6" fillId="6" fontId="21" numFmtId="0" xfId="0" applyAlignment="1" applyBorder="1" applyFill="1" applyFont="1">
      <alignment horizontal="center" readingOrder="0" shrinkToFit="0" vertical="bottom" wrapText="0"/>
    </xf>
    <xf borderId="6" fillId="5" fontId="21" numFmtId="0" xfId="0" applyAlignment="1" applyBorder="1" applyFont="1">
      <alignment horizontal="center" readingOrder="0" shrinkToFit="0" vertical="bottom" wrapText="0"/>
    </xf>
    <xf borderId="7" fillId="3" fontId="22" numFmtId="0" xfId="0" applyAlignment="1" applyBorder="1" applyFont="1">
      <alignment horizontal="left" shrinkToFit="0" vertical="bottom" wrapText="0"/>
    </xf>
    <xf borderId="8" fillId="0" fontId="3" numFmtId="0" xfId="0" applyBorder="1" applyFont="1"/>
    <xf borderId="9" fillId="0" fontId="3" numFmtId="0" xfId="0" applyBorder="1" applyFont="1"/>
    <xf borderId="10" fillId="5" fontId="21" numFmtId="0" xfId="0" applyAlignment="1" applyBorder="1" applyFont="1">
      <alignment horizontal="center" readingOrder="0" shrinkToFit="0" vertical="bottom" wrapText="0"/>
    </xf>
    <xf borderId="10" fillId="6" fontId="21" numFmtId="0" xfId="0" applyAlignment="1" applyBorder="1" applyFont="1">
      <alignment horizontal="center" shrinkToFit="0" vertical="bottom" wrapText="0"/>
    </xf>
    <xf borderId="7" fillId="3" fontId="18" numFmtId="0" xfId="0" applyAlignment="1" applyBorder="1" applyFont="1">
      <alignment horizontal="center" shrinkToFit="0" vertical="bottom" wrapText="0"/>
    </xf>
    <xf borderId="7" fillId="3" fontId="23" numFmtId="0" xfId="0" applyAlignment="1" applyBorder="1" applyFont="1">
      <alignment horizontal="center" shrinkToFit="0" vertical="bottom" wrapText="0"/>
    </xf>
    <xf borderId="1" fillId="3" fontId="20" numFmtId="0" xfId="0" applyAlignment="1" applyBorder="1" applyFont="1">
      <alignment horizontal="left" shrinkToFit="0" vertical="bottom" wrapText="0"/>
    </xf>
    <xf borderId="11" fillId="3" fontId="20" numFmtId="0" xfId="0" applyAlignment="1" applyBorder="1" applyFont="1">
      <alignment horizontal="left" shrinkToFit="0" vertical="bottom" wrapText="0"/>
    </xf>
    <xf borderId="12" fillId="0" fontId="3" numFmtId="0" xfId="0" applyBorder="1" applyFont="1"/>
    <xf borderId="6" fillId="6" fontId="21" numFmtId="0" xfId="0" applyAlignment="1" applyBorder="1" applyFont="1">
      <alignment horizontal="center" shrinkToFit="0" vertical="bottom" wrapText="0"/>
    </xf>
    <xf borderId="1" fillId="3" fontId="23" numFmtId="0" xfId="0" applyAlignment="1" applyBorder="1" applyFont="1">
      <alignment horizontal="center" shrinkToFit="0" vertical="bottom" wrapText="0"/>
    </xf>
    <xf borderId="1" fillId="3" fontId="24" numFmtId="0" xfId="0" applyAlignment="1" applyBorder="1" applyFont="1">
      <alignment shrinkToFit="0" vertical="bottom" wrapText="0"/>
    </xf>
    <xf borderId="13" fillId="3" fontId="22" numFmtId="0" xfId="0" applyAlignment="1" applyBorder="1" applyFont="1">
      <alignment horizontal="left" shrinkToFit="0" vertical="bottom" wrapText="0"/>
    </xf>
    <xf borderId="14" fillId="0" fontId="3" numFmtId="0" xfId="0" applyBorder="1" applyFont="1"/>
    <xf borderId="15" fillId="0" fontId="3" numFmtId="0" xfId="0" applyBorder="1" applyFont="1"/>
    <xf borderId="2" fillId="3" fontId="25" numFmtId="0" xfId="0" applyAlignment="1" applyBorder="1" applyFont="1">
      <alignment horizontal="left" shrinkToFit="0" vertical="bottom" wrapText="0"/>
    </xf>
    <xf borderId="10" fillId="5" fontId="21" numFmtId="0" xfId="0" applyAlignment="1" applyBorder="1" applyFont="1">
      <alignment horizontal="center" shrinkToFit="0" vertical="bottom" wrapText="0"/>
    </xf>
    <xf borderId="10" fillId="6" fontId="21" numFmtId="0" xfId="0" applyAlignment="1" applyBorder="1" applyFont="1">
      <alignment horizontal="center" readingOrder="0" shrinkToFit="0" vertical="bottom" wrapText="0"/>
    </xf>
    <xf borderId="1" fillId="3" fontId="25" numFmtId="0" xfId="0" applyAlignment="1" applyBorder="1" applyFont="1">
      <alignment horizontal="left" shrinkToFit="0" vertical="bottom" wrapText="0"/>
    </xf>
    <xf borderId="11" fillId="3" fontId="25" numFmtId="0" xfId="0" applyAlignment="1" applyBorder="1" applyFont="1">
      <alignment horizontal="left" shrinkToFit="0" vertical="bottom" wrapText="0"/>
    </xf>
    <xf borderId="1" fillId="3" fontId="20" numFmtId="0" xfId="0" applyAlignment="1" applyBorder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1" fillId="7" fontId="15" numFmtId="0" xfId="0" applyAlignment="1" applyBorder="1" applyFont="1">
      <alignment shrinkToFit="0" vertical="bottom" wrapText="0"/>
    </xf>
    <xf borderId="1" fillId="7" fontId="26" numFmtId="0" xfId="0" applyAlignment="1" applyBorder="1" applyFont="1">
      <alignment shrinkToFit="0" vertical="bottom" wrapText="0"/>
    </xf>
    <xf borderId="1" fillId="7" fontId="27" numFmtId="0" xfId="0" applyAlignment="1" applyBorder="1" applyFont="1">
      <alignment shrinkToFit="0" vertical="bottom" wrapText="0"/>
    </xf>
    <xf borderId="7" fillId="7" fontId="1" numFmtId="0" xfId="0" applyAlignment="1" applyBorder="1" applyFont="1">
      <alignment horizontal="center" shrinkToFit="0" vertical="bottom" wrapText="0"/>
    </xf>
    <xf borderId="16" fillId="7" fontId="1" numFmtId="0" xfId="0" applyAlignment="1" applyBorder="1" applyFont="1">
      <alignment horizontal="center" shrinkToFit="0" vertical="bottom" wrapText="0"/>
    </xf>
    <xf borderId="17" fillId="0" fontId="3" numFmtId="0" xfId="0" applyBorder="1" applyFont="1"/>
    <xf borderId="16" fillId="7" fontId="1" numFmtId="14" xfId="0" applyAlignment="1" applyBorder="1" applyFont="1" applyNumberFormat="1">
      <alignment horizontal="center" shrinkToFit="0" vertical="bottom" wrapText="0"/>
    </xf>
    <xf borderId="18" fillId="0" fontId="3" numFmtId="0" xfId="0" applyBorder="1" applyFont="1"/>
    <xf borderId="2" fillId="7" fontId="1" numFmtId="0" xfId="0" applyAlignment="1" applyBorder="1" applyFont="1">
      <alignment horizontal="center" shrinkToFit="0" vertical="bottom" wrapText="0"/>
    </xf>
    <xf borderId="1" fillId="7" fontId="28" numFmtId="0" xfId="0" applyAlignment="1" applyBorder="1" applyFont="1">
      <alignment shrinkToFit="0" vertical="bottom" wrapText="0"/>
    </xf>
    <xf borderId="1" fillId="7" fontId="29" numFmtId="0" xfId="0" applyAlignment="1" applyBorder="1" applyFont="1">
      <alignment shrinkToFit="0" vertical="bottom" wrapText="0"/>
    </xf>
    <xf borderId="1" fillId="7" fontId="30" numFmtId="0" xfId="0" applyAlignment="1" applyBorder="1" applyFont="1">
      <alignment shrinkToFit="0" vertical="bottom" wrapText="0"/>
    </xf>
    <xf borderId="1" fillId="7" fontId="31" numFmtId="0" xfId="0" applyAlignment="1" applyBorder="1" applyFont="1">
      <alignment shrinkToFit="0" vertical="bottom" wrapText="0"/>
    </xf>
    <xf borderId="7" fillId="7" fontId="22" numFmtId="0" xfId="0" applyAlignment="1" applyBorder="1" applyFont="1">
      <alignment horizontal="left" shrinkToFit="0" vertical="bottom" wrapText="0"/>
    </xf>
    <xf borderId="1" fillId="7" fontId="32" numFmtId="0" xfId="0" applyAlignment="1" applyBorder="1" applyFont="1">
      <alignment shrinkToFit="0" vertical="bottom" wrapText="0"/>
    </xf>
    <xf borderId="7" fillId="7" fontId="18" numFmtId="0" xfId="0" applyAlignment="1" applyBorder="1" applyFont="1">
      <alignment horizontal="center" shrinkToFit="0" vertical="bottom" wrapText="0"/>
    </xf>
    <xf borderId="7" fillId="7" fontId="23" numFmtId="0" xfId="0" applyAlignment="1" applyBorder="1" applyFont="1">
      <alignment horizontal="center" shrinkToFit="0" vertical="bottom" wrapText="0"/>
    </xf>
    <xf borderId="13" fillId="7" fontId="22" numFmtId="0" xfId="0" applyAlignment="1" applyBorder="1" applyFont="1">
      <alignment horizontal="left" shrinkToFit="0" vertical="bottom" wrapText="0"/>
    </xf>
    <xf borderId="7" fillId="7" fontId="33" numFmtId="0" xfId="0" applyAlignment="1" applyBorder="1" applyFont="1">
      <alignment horizontal="center" shrinkToFit="0" vertical="bottom" wrapText="0"/>
    </xf>
    <xf borderId="2" fillId="7" fontId="23" numFmtId="0" xfId="0" applyAlignment="1" applyBorder="1" applyFont="1">
      <alignment horizontal="center" shrinkToFit="0" vertical="bottom" wrapText="0"/>
    </xf>
    <xf borderId="19" fillId="7" fontId="32" numFmtId="0" xfId="0" applyAlignment="1" applyBorder="1" applyFont="1">
      <alignment horizontal="left" shrinkToFit="0" vertical="bottom" wrapText="0"/>
    </xf>
    <xf borderId="1" fillId="7" fontId="34" numFmtId="0" xfId="0" applyAlignment="1" applyBorder="1" applyFont="1">
      <alignment shrinkToFit="0" vertical="bottom" wrapText="0"/>
    </xf>
    <xf borderId="20" fillId="7" fontId="35" numFmtId="0" xfId="0" applyAlignment="1" applyBorder="1" applyFont="1">
      <alignment horizontal="center" shrinkToFit="0" vertical="bottom" wrapText="0"/>
    </xf>
    <xf borderId="21" fillId="0" fontId="3" numFmtId="0" xfId="0" applyBorder="1" applyFont="1"/>
    <xf borderId="22" fillId="0" fontId="3" numFmtId="0" xfId="0" applyBorder="1" applyFont="1"/>
    <xf borderId="1" fillId="7" fontId="34" numFmtId="0" xfId="0" applyAlignment="1" applyBorder="1" applyFont="1">
      <alignment horizontal="left" shrinkToFit="0" vertical="bottom" wrapText="0"/>
    </xf>
    <xf borderId="1" fillId="7" fontId="36" numFmtId="0" xfId="0" applyAlignment="1" applyBorder="1" applyFont="1">
      <alignment horizontal="center" shrinkToFit="0" vertical="bottom" wrapText="0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1" fillId="7" fontId="33" numFmtId="0" xfId="0" applyAlignment="1" applyBorder="1" applyFont="1">
      <alignment horizontal="center" shrinkToFit="0" vertical="bottom" wrapText="0"/>
    </xf>
    <xf borderId="1" fillId="7" fontId="13" numFmtId="0" xfId="0" applyAlignment="1" applyBorder="1" applyFont="1">
      <alignment shrinkToFit="0" vertical="bottom" wrapText="0"/>
    </xf>
    <xf borderId="26" fillId="7" fontId="23" numFmtId="0" xfId="0" applyAlignment="1" applyBorder="1" applyFont="1">
      <alignment horizontal="center" shrinkToFit="0" vertical="bottom" wrapText="0"/>
    </xf>
    <xf borderId="27" fillId="7" fontId="32" numFmtId="0" xfId="0" applyAlignment="1" applyBorder="1" applyFont="1">
      <alignment horizontal="left" shrinkToFit="0" vertical="bottom" wrapText="0"/>
    </xf>
    <xf borderId="28" fillId="0" fontId="3" numFmtId="0" xfId="0" applyBorder="1" applyFont="1"/>
    <xf borderId="29" fillId="0" fontId="3" numFmtId="0" xfId="0" applyBorder="1" applyFont="1"/>
    <xf borderId="30" fillId="7" fontId="32" numFmtId="0" xfId="0" applyAlignment="1" applyBorder="1" applyFont="1">
      <alignment horizontal="left" shrinkToFit="0" vertical="bottom" wrapText="0"/>
    </xf>
    <xf borderId="27" fillId="7" fontId="32" numFmtId="0" xfId="0" applyAlignment="1" applyBorder="1" applyFont="1">
      <alignment horizontal="center" shrinkToFit="0" vertical="bottom" wrapText="0"/>
    </xf>
    <xf borderId="31" fillId="0" fontId="3" numFmtId="0" xfId="0" applyBorder="1" applyFont="1"/>
    <xf borderId="32" fillId="0" fontId="3" numFmtId="0" xfId="0" applyBorder="1" applyFont="1"/>
    <xf borderId="20" fillId="7" fontId="1" numFmtId="0" xfId="0" applyAlignment="1" applyBorder="1" applyFont="1">
      <alignment horizontal="center" shrinkToFit="0" vertical="bottom" wrapText="0"/>
    </xf>
    <xf borderId="1" fillId="7" fontId="1" numFmtId="0" xfId="0" applyAlignment="1" applyBorder="1" applyFont="1">
      <alignment horizontal="center" shrinkToFit="0" vertical="bottom" wrapText="0"/>
    </xf>
    <xf borderId="1" fillId="7" fontId="37" numFmtId="0" xfId="0" applyAlignment="1" applyBorder="1" applyFont="1">
      <alignment horizontal="left" shrinkToFit="0" vertical="bottom" wrapText="0"/>
    </xf>
    <xf borderId="20" fillId="7" fontId="22" numFmtId="0" xfId="0" applyAlignment="1" applyBorder="1" applyFont="1">
      <alignment horizontal="center" shrinkToFit="0" vertical="bottom" wrapText="0"/>
    </xf>
    <xf borderId="1" fillId="7" fontId="22" numFmtId="0" xfId="0" applyAlignment="1" applyBorder="1" applyFont="1">
      <alignment horizontal="left" shrinkToFit="0" vertical="bottom" wrapText="0"/>
    </xf>
    <xf borderId="1" fillId="7" fontId="1" numFmtId="0" xfId="0" applyAlignment="1" applyBorder="1" applyFont="1">
      <alignment horizontal="left" shrinkToFit="0" vertical="bottom" wrapText="0"/>
    </xf>
    <xf borderId="13" fillId="7" fontId="38" numFmtId="0" xfId="0" applyAlignment="1" applyBorder="1" applyFont="1">
      <alignment horizontal="center" shrinkToFit="0" vertical="bottom" wrapText="0"/>
    </xf>
    <xf borderId="33" fillId="7" fontId="38" numFmtId="0" xfId="0" applyAlignment="1" applyBorder="1" applyFont="1">
      <alignment horizontal="center" shrinkToFit="0" vertical="bottom" wrapText="0"/>
    </xf>
    <xf borderId="34" fillId="0" fontId="3" numFmtId="0" xfId="0" applyBorder="1" applyFont="1"/>
    <xf borderId="33" fillId="7" fontId="1" numFmtId="0" xfId="0" applyAlignment="1" applyBorder="1" applyFont="1">
      <alignment horizontal="center" shrinkToFit="0" vertical="bottom" wrapText="0"/>
    </xf>
    <xf borderId="1" fillId="7" fontId="39" numFmtId="0" xfId="0" applyAlignment="1" applyBorder="1" applyFont="1">
      <alignment horizontal="left" shrinkToFit="0" vertical="bottom" wrapText="0"/>
    </xf>
    <xf borderId="35" fillId="7" fontId="1" numFmtId="0" xfId="0" applyAlignment="1" applyBorder="1" applyFont="1">
      <alignment horizontal="left" shrinkToFit="0" vertical="bottom" wrapText="0"/>
    </xf>
    <xf borderId="35" fillId="7" fontId="1" numFmtId="0" xfId="0" applyAlignment="1" applyBorder="1" applyFont="1">
      <alignment horizontal="center" shrinkToFit="0" vertical="bottom" wrapText="0"/>
    </xf>
    <xf borderId="33" fillId="7" fontId="38" numFmtId="0" xfId="0" applyAlignment="1" applyBorder="1" applyFont="1">
      <alignment horizontal="left" shrinkToFit="0" vertical="bottom" wrapText="0"/>
    </xf>
    <xf borderId="2" fillId="7" fontId="4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38100</xdr:colOff>
      <xdr:row>3</xdr:row>
      <xdr:rowOff>95250</xdr:rowOff>
    </xdr:from>
    <xdr:ext cx="2943225" cy="7772400"/>
    <xdr:sp>
      <xdr:nvSpPr>
        <xdr:cNvPr id="3" name="Shape 3"/>
        <xdr:cNvSpPr/>
      </xdr:nvSpPr>
      <xdr:spPr>
        <a:xfrm>
          <a:off x="3879150" y="0"/>
          <a:ext cx="2933700" cy="7560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FFFFF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238125</xdr:colOff>
      <xdr:row>20</xdr:row>
      <xdr:rowOff>47625</xdr:rowOff>
    </xdr:from>
    <xdr:ext cx="971550" cy="1362075"/>
    <xdr:sp>
      <xdr:nvSpPr>
        <xdr:cNvPr id="4" name="Shape 4"/>
        <xdr:cNvSpPr/>
      </xdr:nvSpPr>
      <xdr:spPr>
        <a:xfrm>
          <a:off x="4864988" y="3103725"/>
          <a:ext cx="962025" cy="1352550"/>
        </a:xfrm>
        <a:prstGeom prst="rect">
          <a:avLst/>
        </a:prstGeom>
        <a:noFill/>
        <a:ln cap="flat" cmpd="sng" w="952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17</xdr:row>
      <xdr:rowOff>0</xdr:rowOff>
    </xdr:from>
    <xdr:ext cx="171450" cy="2066925"/>
    <xdr:sp>
      <xdr:nvSpPr>
        <xdr:cNvPr id="5" name="Shape 5"/>
        <xdr:cNvSpPr/>
      </xdr:nvSpPr>
      <xdr:spPr>
        <a:xfrm>
          <a:off x="5265038" y="2746538"/>
          <a:ext cx="161925" cy="2066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INTROVERSION</a:t>
          </a:r>
          <a:endParaRPr sz="1400"/>
        </a:p>
      </xdr:txBody>
    </xdr:sp>
    <xdr:clientData fLocksWithSheet="0"/>
  </xdr:oneCellAnchor>
  <xdr:oneCellAnchor>
    <xdr:from>
      <xdr:col>18</xdr:col>
      <xdr:colOff>85725</xdr:colOff>
      <xdr:row>17</xdr:row>
      <xdr:rowOff>57150</xdr:rowOff>
    </xdr:from>
    <xdr:ext cx="190500" cy="2076450"/>
    <xdr:sp>
      <xdr:nvSpPr>
        <xdr:cNvPr id="6" name="Shape 6"/>
        <xdr:cNvSpPr/>
      </xdr:nvSpPr>
      <xdr:spPr>
        <a:xfrm>
          <a:off x="5255513" y="2746538"/>
          <a:ext cx="180975" cy="2066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EXTROVERSION</a:t>
          </a:r>
          <a:endParaRPr sz="1400"/>
        </a:p>
      </xdr:txBody>
    </xdr:sp>
    <xdr:clientData fLocksWithSheet="0"/>
  </xdr:oneCellAnchor>
  <xdr:oneCellAnchor>
    <xdr:from>
      <xdr:col>6</xdr:col>
      <xdr:colOff>95250</xdr:colOff>
      <xdr:row>24</xdr:row>
      <xdr:rowOff>114300</xdr:rowOff>
    </xdr:from>
    <xdr:ext cx="1981200" cy="304800"/>
    <xdr:sp>
      <xdr:nvSpPr>
        <xdr:cNvPr id="7" name="Shape 7"/>
        <xdr:cNvSpPr/>
      </xdr:nvSpPr>
      <xdr:spPr>
        <a:xfrm>
          <a:off x="4360163" y="3632363"/>
          <a:ext cx="19716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Tendiente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7.86"/>
    <col customWidth="1" min="3" max="6" width="11.43"/>
    <col customWidth="1" min="7" max="7" width="26.57"/>
    <col customWidth="1" min="8" max="26" width="10.0"/>
  </cols>
  <sheetData>
    <row r="1" ht="54.0" customHeight="1">
      <c r="A1" s="1"/>
      <c r="B1" s="2" t="s">
        <v>0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0.0" customHeight="1">
      <c r="A2" s="1"/>
      <c r="B2" s="5" t="s">
        <v>1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6"/>
      <c r="C3" s="7"/>
      <c r="D3" s="7"/>
      <c r="E3" s="7"/>
      <c r="F3" s="7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6"/>
      <c r="C4" s="7"/>
      <c r="D4" s="7"/>
      <c r="E4" s="7"/>
      <c r="F4" s="7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/>
      <c r="B5" s="6"/>
      <c r="C5" s="7"/>
      <c r="D5" s="7"/>
      <c r="E5" s="7"/>
      <c r="F5" s="7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8"/>
      <c r="B6" s="9" t="s">
        <v>2</v>
      </c>
      <c r="C6" s="4"/>
      <c r="D6" s="10" t="s">
        <v>3</v>
      </c>
      <c r="E6" s="3"/>
      <c r="F6" s="3"/>
      <c r="G6" s="4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8.5" customHeight="1">
      <c r="A7" s="8"/>
      <c r="B7" s="11" t="s">
        <v>4</v>
      </c>
      <c r="C7" s="12">
        <v>32.0</v>
      </c>
      <c r="D7" s="13"/>
      <c r="E7" s="14"/>
      <c r="F7" s="11" t="s">
        <v>5</v>
      </c>
      <c r="G7" s="15">
        <v>45402.0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8.5" customHeight="1">
      <c r="A8" s="8"/>
      <c r="B8" s="11" t="s">
        <v>6</v>
      </c>
      <c r="C8" s="10" t="s">
        <v>7</v>
      </c>
      <c r="D8" s="3"/>
      <c r="E8" s="4"/>
      <c r="F8" s="11" t="s">
        <v>8</v>
      </c>
      <c r="G8" s="1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8.5" customHeight="1">
      <c r="A9" s="8"/>
      <c r="B9" s="17"/>
      <c r="C9" s="13"/>
      <c r="D9" s="13"/>
      <c r="E9" s="14"/>
      <c r="F9" s="14"/>
      <c r="G9" s="18" t="s">
        <v>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3.0" customHeight="1">
      <c r="A10" s="8"/>
      <c r="B10" s="11" t="s">
        <v>10</v>
      </c>
      <c r="C10" s="10" t="s">
        <v>11</v>
      </c>
      <c r="D10" s="3"/>
      <c r="E10" s="3"/>
      <c r="F10" s="4"/>
      <c r="G10" s="18" t="s">
        <v>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"/>
      <c r="B11" s="1"/>
      <c r="C11" s="1"/>
      <c r="D11" s="1"/>
      <c r="E11" s="1"/>
      <c r="F11" s="1"/>
      <c r="G11" s="19" t="s">
        <v>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9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9" t="s">
        <v>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9" t="s">
        <v>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9" t="s">
        <v>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9" t="s">
        <v>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9" t="s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9" t="s">
        <v>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9" t="s">
        <v>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9" t="s">
        <v>12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9" t="s">
        <v>13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9" t="s">
        <v>14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G1"/>
    <mergeCell ref="B2:G2"/>
    <mergeCell ref="B6:C6"/>
    <mergeCell ref="D6:G6"/>
    <mergeCell ref="C8:E8"/>
    <mergeCell ref="C10:F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6.86"/>
    <col customWidth="1" min="3" max="3" width="15.86"/>
    <col customWidth="1" min="4" max="4" width="16.43"/>
    <col customWidth="1" min="5" max="5" width="17.0"/>
    <col customWidth="1" min="6" max="6" width="19.0"/>
    <col customWidth="1" min="7" max="8" width="5.14"/>
    <col customWidth="1" min="9" max="9" width="3.14"/>
    <col customWidth="1" min="10" max="10" width="4.14"/>
    <col customWidth="1" min="11" max="12" width="19.86"/>
    <col customWidth="1" min="13" max="13" width="23.43"/>
    <col customWidth="1" min="14" max="14" width="21.43"/>
    <col customWidth="1" min="15" max="16" width="5.14"/>
    <col customWidth="1" min="17" max="21" width="3.86"/>
    <col customWidth="1" min="22" max="22" width="4.57"/>
    <col customWidth="1" min="23" max="23" width="4.86"/>
    <col customWidth="1" min="24" max="26" width="10.0"/>
  </cols>
  <sheetData>
    <row r="1" ht="20.25" customHeight="1">
      <c r="A1" s="20"/>
      <c r="B1" s="21"/>
      <c r="C1" s="22" t="s">
        <v>15</v>
      </c>
      <c r="D1" s="3"/>
      <c r="E1" s="3"/>
      <c r="F1" s="3"/>
      <c r="G1" s="3"/>
      <c r="H1" s="3"/>
      <c r="I1" s="3"/>
      <c r="J1" s="3"/>
      <c r="K1" s="3"/>
      <c r="L1" s="4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7.25" customHeight="1">
      <c r="A2" s="20"/>
      <c r="B2" s="21"/>
      <c r="C2" s="22" t="s">
        <v>16</v>
      </c>
      <c r="D2" s="3"/>
      <c r="E2" s="3"/>
      <c r="F2" s="3"/>
      <c r="G2" s="3"/>
      <c r="H2" s="3"/>
      <c r="I2" s="3"/>
      <c r="J2" s="3"/>
      <c r="K2" s="3"/>
      <c r="L2" s="4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0.25" customHeight="1">
      <c r="A3" s="20"/>
      <c r="B3" s="23"/>
      <c r="C3" s="24" t="s">
        <v>17</v>
      </c>
      <c r="D3" s="3"/>
      <c r="E3" s="3"/>
      <c r="F3" s="3"/>
      <c r="G3" s="3"/>
      <c r="H3" s="3"/>
      <c r="I3" s="3"/>
      <c r="J3" s="3"/>
      <c r="K3" s="3"/>
      <c r="L3" s="4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8.0" customHeight="1">
      <c r="A4" s="20"/>
      <c r="B4" s="25" t="s">
        <v>18</v>
      </c>
      <c r="C4" s="25"/>
      <c r="D4" s="25"/>
      <c r="E4" s="25"/>
      <c r="F4" s="26"/>
      <c r="G4" s="26" t="s">
        <v>19</v>
      </c>
      <c r="H4" s="26" t="s">
        <v>20</v>
      </c>
      <c r="I4" s="27"/>
      <c r="J4" s="25" t="s">
        <v>18</v>
      </c>
      <c r="K4" s="25"/>
      <c r="L4" s="25"/>
      <c r="M4" s="25"/>
      <c r="N4" s="26"/>
      <c r="O4" s="26" t="s">
        <v>19</v>
      </c>
      <c r="P4" s="26" t="s">
        <v>20</v>
      </c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8.0" customHeight="1">
      <c r="A5" s="20"/>
      <c r="B5" s="28">
        <v>1.0</v>
      </c>
      <c r="C5" s="29" t="s">
        <v>21</v>
      </c>
      <c r="D5" s="3"/>
      <c r="E5" s="3"/>
      <c r="F5" s="30"/>
      <c r="G5" s="31"/>
      <c r="H5" s="32">
        <v>1.0</v>
      </c>
      <c r="I5" s="20"/>
      <c r="J5" s="28">
        <v>30.0</v>
      </c>
      <c r="K5" s="29" t="s">
        <v>22</v>
      </c>
      <c r="L5" s="3"/>
      <c r="M5" s="3"/>
      <c r="N5" s="30"/>
      <c r="O5" s="33">
        <v>1.0</v>
      </c>
      <c r="P5" s="32"/>
      <c r="Q5" s="20"/>
      <c r="R5" s="20"/>
      <c r="S5" s="20"/>
      <c r="T5" s="34" t="s">
        <v>23</v>
      </c>
      <c r="U5" s="35"/>
      <c r="V5" s="35"/>
      <c r="W5" s="36"/>
      <c r="X5" s="20"/>
      <c r="Y5" s="20"/>
      <c r="Z5" s="20"/>
    </row>
    <row r="6" ht="18.0" customHeight="1">
      <c r="A6" s="20"/>
      <c r="B6" s="28">
        <f>SUM(B5)+1</f>
        <v>2</v>
      </c>
      <c r="C6" s="29" t="s">
        <v>24</v>
      </c>
      <c r="D6" s="3"/>
      <c r="E6" s="3"/>
      <c r="F6" s="30"/>
      <c r="G6" s="37">
        <v>1.0</v>
      </c>
      <c r="H6" s="38"/>
      <c r="I6" s="20"/>
      <c r="J6" s="28">
        <f t="shared" ref="J6:J26" si="1">SUM(J5)+1</f>
        <v>31</v>
      </c>
      <c r="K6" s="29" t="s">
        <v>25</v>
      </c>
      <c r="L6" s="3"/>
      <c r="M6" s="3"/>
      <c r="N6" s="30"/>
      <c r="O6" s="33"/>
      <c r="P6" s="32">
        <v>1.0</v>
      </c>
      <c r="Q6" s="20"/>
      <c r="R6" s="20"/>
      <c r="S6" s="20"/>
      <c r="T6" s="39" t="s">
        <v>26</v>
      </c>
      <c r="U6" s="36"/>
      <c r="V6" s="40">
        <f>G11+H18+H24+G30+P5+O11+P17+P23+P30</f>
        <v>2</v>
      </c>
      <c r="W6" s="36"/>
      <c r="X6" s="20"/>
      <c r="Y6" s="20"/>
      <c r="Z6" s="20"/>
    </row>
    <row r="7" ht="18.0" customHeight="1">
      <c r="A7" s="20"/>
      <c r="B7" s="28"/>
      <c r="C7" s="41" t="s">
        <v>27</v>
      </c>
      <c r="D7" s="41"/>
      <c r="E7" s="41"/>
      <c r="F7" s="42"/>
      <c r="G7" s="43"/>
      <c r="H7" s="43"/>
      <c r="I7" s="20"/>
      <c r="J7" s="28">
        <f t="shared" si="1"/>
        <v>32</v>
      </c>
      <c r="K7" s="29" t="s">
        <v>28</v>
      </c>
      <c r="L7" s="3"/>
      <c r="M7" s="3"/>
      <c r="N7" s="30"/>
      <c r="O7" s="33">
        <v>1.0</v>
      </c>
      <c r="P7" s="44"/>
      <c r="Q7" s="20"/>
      <c r="R7" s="20"/>
      <c r="S7" s="20"/>
      <c r="T7" s="26"/>
      <c r="U7" s="26"/>
      <c r="V7" s="45"/>
      <c r="W7" s="45"/>
      <c r="X7" s="20"/>
      <c r="Y7" s="20"/>
      <c r="Z7" s="20"/>
    </row>
    <row r="8" ht="18.0" customHeight="1">
      <c r="A8" s="20"/>
      <c r="B8" s="28">
        <f>SUM(B6)+1</f>
        <v>3</v>
      </c>
      <c r="C8" s="29" t="s">
        <v>29</v>
      </c>
      <c r="D8" s="3"/>
      <c r="E8" s="3"/>
      <c r="F8" s="30"/>
      <c r="G8" s="33">
        <v>1.0</v>
      </c>
      <c r="H8" s="32"/>
      <c r="I8" s="20"/>
      <c r="J8" s="28">
        <f t="shared" si="1"/>
        <v>33</v>
      </c>
      <c r="K8" s="29" t="s">
        <v>30</v>
      </c>
      <c r="L8" s="3"/>
      <c r="M8" s="3"/>
      <c r="N8" s="30"/>
      <c r="O8" s="33"/>
      <c r="P8" s="32">
        <v>1.0</v>
      </c>
      <c r="Q8" s="20"/>
      <c r="R8" s="20"/>
      <c r="S8" s="20"/>
      <c r="T8" s="46"/>
      <c r="U8" s="46"/>
      <c r="V8" s="46"/>
      <c r="W8" s="46"/>
      <c r="X8" s="20"/>
      <c r="Y8" s="20"/>
      <c r="Z8" s="20"/>
    </row>
    <row r="9" ht="18.0" customHeight="1">
      <c r="A9" s="20"/>
      <c r="B9" s="28">
        <f t="shared" ref="B9:B13" si="2">SUM(B8)+1</f>
        <v>4</v>
      </c>
      <c r="C9" s="29" t="s">
        <v>31</v>
      </c>
      <c r="D9" s="3"/>
      <c r="E9" s="3"/>
      <c r="F9" s="30"/>
      <c r="G9" s="33">
        <v>1.0</v>
      </c>
      <c r="H9" s="44"/>
      <c r="I9" s="20"/>
      <c r="J9" s="28">
        <f t="shared" si="1"/>
        <v>34</v>
      </c>
      <c r="K9" s="29" t="s">
        <v>32</v>
      </c>
      <c r="L9" s="3"/>
      <c r="M9" s="3"/>
      <c r="N9" s="30"/>
      <c r="O9" s="33">
        <v>1.0</v>
      </c>
      <c r="P9" s="32"/>
      <c r="Q9" s="20"/>
      <c r="R9" s="20"/>
      <c r="S9" s="20"/>
      <c r="T9" s="47" t="s">
        <v>33</v>
      </c>
      <c r="U9" s="48"/>
      <c r="V9" s="48"/>
      <c r="W9" s="49"/>
      <c r="X9" s="20"/>
      <c r="Y9" s="20"/>
      <c r="Z9" s="20"/>
    </row>
    <row r="10" ht="18.0" customHeight="1">
      <c r="A10" s="20"/>
      <c r="B10" s="28">
        <f t="shared" si="2"/>
        <v>5</v>
      </c>
      <c r="C10" s="29" t="s">
        <v>34</v>
      </c>
      <c r="D10" s="3"/>
      <c r="E10" s="3"/>
      <c r="F10" s="30"/>
      <c r="G10" s="33">
        <v>1.0</v>
      </c>
      <c r="H10" s="44"/>
      <c r="I10" s="20"/>
      <c r="J10" s="28">
        <f t="shared" si="1"/>
        <v>35</v>
      </c>
      <c r="K10" s="29" t="s">
        <v>35</v>
      </c>
      <c r="L10" s="3"/>
      <c r="M10" s="3"/>
      <c r="N10" s="30"/>
      <c r="O10" s="33">
        <v>1.0</v>
      </c>
      <c r="P10" s="32"/>
      <c r="Q10" s="20"/>
      <c r="R10" s="20"/>
      <c r="S10" s="20"/>
      <c r="T10" s="39" t="s">
        <v>36</v>
      </c>
      <c r="U10" s="36"/>
      <c r="V10" s="39">
        <f>G6+G9+G12+G15+G17+G20+G22+G25+G27+G29+G32+G34+O8+O10+O13+O15+O18+O20+O22+O25+O28+O31+O34</f>
        <v>12</v>
      </c>
      <c r="W10" s="36"/>
      <c r="X10" s="20"/>
      <c r="Y10" s="20"/>
      <c r="Z10" s="20"/>
    </row>
    <row r="11" ht="18.0" customHeight="1">
      <c r="A11" s="20"/>
      <c r="B11" s="28">
        <f t="shared" si="2"/>
        <v>6</v>
      </c>
      <c r="C11" s="29" t="s">
        <v>37</v>
      </c>
      <c r="D11" s="3"/>
      <c r="E11" s="3"/>
      <c r="F11" s="30"/>
      <c r="G11" s="33"/>
      <c r="H11" s="32">
        <v>1.0</v>
      </c>
      <c r="I11" s="20"/>
      <c r="J11" s="28">
        <f t="shared" si="1"/>
        <v>36</v>
      </c>
      <c r="K11" s="29" t="s">
        <v>38</v>
      </c>
      <c r="L11" s="3"/>
      <c r="M11" s="3"/>
      <c r="N11" s="30"/>
      <c r="O11" s="33"/>
      <c r="P11" s="32">
        <v>1.0</v>
      </c>
      <c r="Q11" s="20"/>
      <c r="R11" s="20"/>
      <c r="S11" s="20"/>
      <c r="T11" s="39" t="s">
        <v>39</v>
      </c>
      <c r="U11" s="36"/>
      <c r="V11" s="39">
        <f>G5+G8+H10+G13+G16+G19+H21+G23+H26+G28+G31+G33+H35+P7+P9+P12+O14+P16+O19+O21+O24+P26+O29+O32</f>
        <v>10</v>
      </c>
      <c r="W11" s="36"/>
      <c r="X11" s="20"/>
      <c r="Y11" s="20"/>
      <c r="Z11" s="20"/>
    </row>
    <row r="12" ht="18.0" customHeight="1">
      <c r="A12" s="20"/>
      <c r="B12" s="28">
        <f t="shared" si="2"/>
        <v>7</v>
      </c>
      <c r="C12" s="29" t="s">
        <v>40</v>
      </c>
      <c r="D12" s="3"/>
      <c r="E12" s="3"/>
      <c r="F12" s="30"/>
      <c r="G12" s="33">
        <v>1.0</v>
      </c>
      <c r="H12" s="44"/>
      <c r="I12" s="20"/>
      <c r="J12" s="28">
        <f t="shared" si="1"/>
        <v>37</v>
      </c>
      <c r="K12" s="29" t="s">
        <v>41</v>
      </c>
      <c r="L12" s="3"/>
      <c r="M12" s="3"/>
      <c r="N12" s="30"/>
      <c r="O12" s="33">
        <v>1.0</v>
      </c>
      <c r="P12" s="32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8.0" customHeight="1">
      <c r="A13" s="20"/>
      <c r="B13" s="28">
        <f t="shared" si="2"/>
        <v>8</v>
      </c>
      <c r="C13" s="50" t="s">
        <v>42</v>
      </c>
      <c r="D13" s="3"/>
      <c r="E13" s="3"/>
      <c r="F13" s="30"/>
      <c r="G13" s="51"/>
      <c r="H13" s="52">
        <v>1.0</v>
      </c>
      <c r="I13" s="20"/>
      <c r="J13" s="28">
        <f t="shared" si="1"/>
        <v>38</v>
      </c>
      <c r="K13" s="29" t="s">
        <v>43</v>
      </c>
      <c r="L13" s="3"/>
      <c r="M13" s="3"/>
      <c r="N13" s="30"/>
      <c r="O13" s="33">
        <v>1.0</v>
      </c>
      <c r="P13" s="32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8.0" customHeight="1">
      <c r="A14" s="20"/>
      <c r="B14" s="28"/>
      <c r="C14" s="53" t="s">
        <v>44</v>
      </c>
      <c r="D14" s="53"/>
      <c r="E14" s="53"/>
      <c r="F14" s="54"/>
      <c r="G14" s="43"/>
      <c r="H14" s="43"/>
      <c r="I14" s="20"/>
      <c r="J14" s="28">
        <f t="shared" si="1"/>
        <v>39</v>
      </c>
      <c r="K14" s="29" t="s">
        <v>45</v>
      </c>
      <c r="L14" s="3"/>
      <c r="M14" s="3"/>
      <c r="N14" s="30"/>
      <c r="O14" s="33">
        <v>1.0</v>
      </c>
      <c r="P14" s="44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8.0" customHeight="1">
      <c r="A15" s="20"/>
      <c r="B15" s="28">
        <f>SUM(B13)+1</f>
        <v>9</v>
      </c>
      <c r="C15" s="29" t="s">
        <v>46</v>
      </c>
      <c r="D15" s="3"/>
      <c r="E15" s="3"/>
      <c r="F15" s="30"/>
      <c r="G15" s="33">
        <v>1.0</v>
      </c>
      <c r="H15" s="44"/>
      <c r="I15" s="20"/>
      <c r="J15" s="28">
        <f t="shared" si="1"/>
        <v>40</v>
      </c>
      <c r="K15" s="29" t="s">
        <v>47</v>
      </c>
      <c r="L15" s="3"/>
      <c r="M15" s="3"/>
      <c r="N15" s="30"/>
      <c r="O15" s="33"/>
      <c r="P15" s="32">
        <v>1.0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8.0" customHeight="1">
      <c r="A16" s="20"/>
      <c r="B16" s="28">
        <f t="shared" ref="B16:B35" si="3">SUM(B15)+1</f>
        <v>10</v>
      </c>
      <c r="C16" s="29" t="s">
        <v>48</v>
      </c>
      <c r="D16" s="3"/>
      <c r="E16" s="3"/>
      <c r="F16" s="30"/>
      <c r="G16" s="31"/>
      <c r="H16" s="32">
        <v>1.0</v>
      </c>
      <c r="I16" s="20"/>
      <c r="J16" s="28">
        <f t="shared" si="1"/>
        <v>41</v>
      </c>
      <c r="K16" s="29" t="s">
        <v>49</v>
      </c>
      <c r="L16" s="3"/>
      <c r="M16" s="3"/>
      <c r="N16" s="30"/>
      <c r="O16" s="33">
        <v>1.0</v>
      </c>
      <c r="P16" s="32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8.0" customHeight="1">
      <c r="A17" s="20"/>
      <c r="B17" s="28">
        <f t="shared" si="3"/>
        <v>11</v>
      </c>
      <c r="C17" s="29" t="s">
        <v>50</v>
      </c>
      <c r="D17" s="3"/>
      <c r="E17" s="3"/>
      <c r="F17" s="30"/>
      <c r="G17" s="33"/>
      <c r="H17" s="32">
        <v>1.0</v>
      </c>
      <c r="I17" s="20"/>
      <c r="J17" s="28">
        <f t="shared" si="1"/>
        <v>42</v>
      </c>
      <c r="K17" s="29" t="s">
        <v>51</v>
      </c>
      <c r="L17" s="3"/>
      <c r="M17" s="3"/>
      <c r="N17" s="30"/>
      <c r="O17" s="33">
        <v>1.0</v>
      </c>
      <c r="P17" s="44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8.0" customHeight="1">
      <c r="A18" s="20"/>
      <c r="B18" s="28">
        <f t="shared" si="3"/>
        <v>12</v>
      </c>
      <c r="C18" s="29" t="s">
        <v>52</v>
      </c>
      <c r="D18" s="3"/>
      <c r="E18" s="3"/>
      <c r="F18" s="30"/>
      <c r="G18" s="33">
        <v>1.0</v>
      </c>
      <c r="H18" s="44"/>
      <c r="I18" s="20"/>
      <c r="J18" s="28">
        <f t="shared" si="1"/>
        <v>43</v>
      </c>
      <c r="K18" s="29" t="s">
        <v>53</v>
      </c>
      <c r="L18" s="3"/>
      <c r="M18" s="3"/>
      <c r="N18" s="30"/>
      <c r="O18" s="31"/>
      <c r="P18" s="32">
        <v>1.0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8.0" customHeight="1">
      <c r="A19" s="20"/>
      <c r="B19" s="28">
        <f t="shared" si="3"/>
        <v>13</v>
      </c>
      <c r="C19" s="29" t="s">
        <v>54</v>
      </c>
      <c r="D19" s="3"/>
      <c r="E19" s="3"/>
      <c r="F19" s="30"/>
      <c r="G19" s="33"/>
      <c r="H19" s="32">
        <v>1.0</v>
      </c>
      <c r="I19" s="20"/>
      <c r="J19" s="28">
        <f t="shared" si="1"/>
        <v>44</v>
      </c>
      <c r="K19" s="29" t="s">
        <v>55</v>
      </c>
      <c r="L19" s="3"/>
      <c r="M19" s="3"/>
      <c r="N19" s="30"/>
      <c r="O19" s="33">
        <v>1.0</v>
      </c>
      <c r="P19" s="44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8.0" customHeight="1">
      <c r="A20" s="20"/>
      <c r="B20" s="28">
        <f t="shared" si="3"/>
        <v>14</v>
      </c>
      <c r="C20" s="29" t="s">
        <v>56</v>
      </c>
      <c r="D20" s="3"/>
      <c r="E20" s="3"/>
      <c r="F20" s="30"/>
      <c r="G20" s="33">
        <v>1.0</v>
      </c>
      <c r="H20" s="32"/>
      <c r="I20" s="20"/>
      <c r="J20" s="28">
        <f t="shared" si="1"/>
        <v>45</v>
      </c>
      <c r="K20" s="29" t="s">
        <v>57</v>
      </c>
      <c r="L20" s="3"/>
      <c r="M20" s="3"/>
      <c r="N20" s="30"/>
      <c r="O20" s="33">
        <v>1.0</v>
      </c>
      <c r="P20" s="32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8.0" customHeight="1">
      <c r="A21" s="20"/>
      <c r="B21" s="28">
        <f t="shared" si="3"/>
        <v>15</v>
      </c>
      <c r="C21" s="29" t="s">
        <v>58</v>
      </c>
      <c r="D21" s="3"/>
      <c r="E21" s="3"/>
      <c r="F21" s="30"/>
      <c r="G21" s="33">
        <v>1.0</v>
      </c>
      <c r="H21" s="44"/>
      <c r="I21" s="20"/>
      <c r="J21" s="28">
        <f t="shared" si="1"/>
        <v>46</v>
      </c>
      <c r="K21" s="29" t="s">
        <v>59</v>
      </c>
      <c r="L21" s="3"/>
      <c r="M21" s="3"/>
      <c r="N21" s="30"/>
      <c r="O21" s="33"/>
      <c r="P21" s="32">
        <v>1.0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8.0" customHeight="1">
      <c r="A22" s="20"/>
      <c r="B22" s="28">
        <f t="shared" si="3"/>
        <v>16</v>
      </c>
      <c r="C22" s="29" t="s">
        <v>60</v>
      </c>
      <c r="D22" s="3"/>
      <c r="E22" s="3"/>
      <c r="F22" s="30"/>
      <c r="G22" s="33">
        <v>1.0</v>
      </c>
      <c r="H22" s="44"/>
      <c r="I22" s="20"/>
      <c r="J22" s="28">
        <f t="shared" si="1"/>
        <v>47</v>
      </c>
      <c r="K22" s="29" t="s">
        <v>61</v>
      </c>
      <c r="L22" s="3"/>
      <c r="M22" s="3"/>
      <c r="N22" s="30"/>
      <c r="O22" s="33"/>
      <c r="P22" s="32">
        <v>1.0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8.0" customHeight="1">
      <c r="A23" s="20"/>
      <c r="B23" s="28">
        <f t="shared" si="3"/>
        <v>17</v>
      </c>
      <c r="C23" s="29" t="s">
        <v>62</v>
      </c>
      <c r="D23" s="3"/>
      <c r="E23" s="3"/>
      <c r="F23" s="30"/>
      <c r="G23" s="31"/>
      <c r="H23" s="32">
        <v>1.0</v>
      </c>
      <c r="I23" s="20"/>
      <c r="J23" s="28">
        <f t="shared" si="1"/>
        <v>48</v>
      </c>
      <c r="K23" s="29" t="s">
        <v>63</v>
      </c>
      <c r="L23" s="3"/>
      <c r="M23" s="3"/>
      <c r="N23" s="30"/>
      <c r="O23" s="33">
        <v>1.0</v>
      </c>
      <c r="P23" s="44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8.0" customHeight="1">
      <c r="A24" s="20"/>
      <c r="B24" s="28">
        <f t="shared" si="3"/>
        <v>18</v>
      </c>
      <c r="C24" s="29" t="s">
        <v>64</v>
      </c>
      <c r="D24" s="3"/>
      <c r="E24" s="3"/>
      <c r="F24" s="30"/>
      <c r="G24" s="31"/>
      <c r="H24" s="32">
        <v>1.0</v>
      </c>
      <c r="I24" s="20"/>
      <c r="J24" s="28">
        <f t="shared" si="1"/>
        <v>49</v>
      </c>
      <c r="K24" s="29" t="s">
        <v>65</v>
      </c>
      <c r="L24" s="3"/>
      <c r="M24" s="3"/>
      <c r="N24" s="30"/>
      <c r="O24" s="33"/>
      <c r="P24" s="32">
        <v>1.0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8.0" customHeight="1">
      <c r="A25" s="20"/>
      <c r="B25" s="28">
        <f t="shared" si="3"/>
        <v>19</v>
      </c>
      <c r="C25" s="29" t="s">
        <v>66</v>
      </c>
      <c r="D25" s="3"/>
      <c r="E25" s="3"/>
      <c r="F25" s="30"/>
      <c r="G25" s="33">
        <v>1.0</v>
      </c>
      <c r="H25" s="44"/>
      <c r="I25" s="20"/>
      <c r="J25" s="28">
        <f t="shared" si="1"/>
        <v>50</v>
      </c>
      <c r="K25" s="29" t="s">
        <v>67</v>
      </c>
      <c r="L25" s="3"/>
      <c r="M25" s="3"/>
      <c r="N25" s="30"/>
      <c r="O25" s="33"/>
      <c r="P25" s="32">
        <v>1.0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8.0" customHeight="1">
      <c r="A26" s="20"/>
      <c r="B26" s="28">
        <f t="shared" si="3"/>
        <v>20</v>
      </c>
      <c r="C26" s="29" t="s">
        <v>68</v>
      </c>
      <c r="D26" s="3"/>
      <c r="E26" s="3"/>
      <c r="F26" s="30"/>
      <c r="G26" s="33">
        <v>1.0</v>
      </c>
      <c r="H26" s="32"/>
      <c r="I26" s="20"/>
      <c r="J26" s="28">
        <f t="shared" si="1"/>
        <v>51</v>
      </c>
      <c r="K26" s="29" t="s">
        <v>69</v>
      </c>
      <c r="L26" s="3"/>
      <c r="M26" s="3"/>
      <c r="N26" s="4"/>
      <c r="O26" s="37"/>
      <c r="P26" s="52">
        <v>1.0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8.0" customHeight="1">
      <c r="A27" s="20"/>
      <c r="B27" s="28">
        <f t="shared" si="3"/>
        <v>21</v>
      </c>
      <c r="C27" s="29" t="s">
        <v>70</v>
      </c>
      <c r="D27" s="3"/>
      <c r="E27" s="3"/>
      <c r="F27" s="30"/>
      <c r="G27" s="33"/>
      <c r="H27" s="32">
        <v>1.0</v>
      </c>
      <c r="I27" s="20"/>
      <c r="J27" s="20"/>
      <c r="K27" s="55" t="s">
        <v>71</v>
      </c>
      <c r="L27" s="55"/>
      <c r="M27" s="55"/>
      <c r="N27" s="55"/>
      <c r="O27" s="43"/>
      <c r="P27" s="43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8.0" customHeight="1">
      <c r="A28" s="20"/>
      <c r="B28" s="28">
        <f t="shared" si="3"/>
        <v>22</v>
      </c>
      <c r="C28" s="29" t="s">
        <v>72</v>
      </c>
      <c r="D28" s="3"/>
      <c r="E28" s="3"/>
      <c r="F28" s="30"/>
      <c r="G28" s="33">
        <v>1.0</v>
      </c>
      <c r="H28" s="32"/>
      <c r="I28" s="20"/>
      <c r="J28" s="28">
        <f>SUM(J26)+1</f>
        <v>52</v>
      </c>
      <c r="K28" s="29" t="s">
        <v>73</v>
      </c>
      <c r="L28" s="3"/>
      <c r="M28" s="3"/>
      <c r="N28" s="30"/>
      <c r="O28" s="31"/>
      <c r="P28" s="32">
        <v>1.0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8.0" customHeight="1">
      <c r="A29" s="20"/>
      <c r="B29" s="28">
        <f t="shared" si="3"/>
        <v>23</v>
      </c>
      <c r="C29" s="29" t="s">
        <v>74</v>
      </c>
      <c r="D29" s="3"/>
      <c r="E29" s="3"/>
      <c r="F29" s="30"/>
      <c r="G29" s="33">
        <v>1.0</v>
      </c>
      <c r="H29" s="44"/>
      <c r="I29" s="20"/>
      <c r="J29" s="28">
        <f t="shared" ref="J29:J32" si="4">SUM(J28)+1</f>
        <v>53</v>
      </c>
      <c r="K29" s="29" t="s">
        <v>75</v>
      </c>
      <c r="L29" s="3"/>
      <c r="M29" s="3"/>
      <c r="N29" s="30"/>
      <c r="O29" s="33">
        <v>1.0</v>
      </c>
      <c r="P29" s="44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8.0" customHeight="1">
      <c r="A30" s="20"/>
      <c r="B30" s="28">
        <f t="shared" si="3"/>
        <v>24</v>
      </c>
      <c r="C30" s="29" t="s">
        <v>76</v>
      </c>
      <c r="D30" s="3"/>
      <c r="E30" s="3"/>
      <c r="F30" s="30"/>
      <c r="G30" s="33"/>
      <c r="H30" s="32">
        <v>1.0</v>
      </c>
      <c r="I30" s="20"/>
      <c r="J30" s="28">
        <f t="shared" si="4"/>
        <v>54</v>
      </c>
      <c r="K30" s="29" t="s">
        <v>77</v>
      </c>
      <c r="L30" s="3"/>
      <c r="M30" s="3"/>
      <c r="N30" s="30"/>
      <c r="O30" s="33"/>
      <c r="P30" s="32">
        <v>1.0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8.0" customHeight="1">
      <c r="A31" s="20"/>
      <c r="B31" s="28">
        <f t="shared" si="3"/>
        <v>25</v>
      </c>
      <c r="C31" s="29" t="s">
        <v>78</v>
      </c>
      <c r="D31" s="3"/>
      <c r="E31" s="3"/>
      <c r="F31" s="30"/>
      <c r="G31" s="33">
        <v>1.0</v>
      </c>
      <c r="H31" s="32"/>
      <c r="I31" s="20"/>
      <c r="J31" s="28">
        <f t="shared" si="4"/>
        <v>55</v>
      </c>
      <c r="K31" s="50" t="s">
        <v>79</v>
      </c>
      <c r="L31" s="3"/>
      <c r="M31" s="3"/>
      <c r="N31" s="30"/>
      <c r="O31" s="33"/>
      <c r="P31" s="32">
        <v>1.0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8.0" customHeight="1">
      <c r="A32" s="20"/>
      <c r="B32" s="28">
        <f t="shared" si="3"/>
        <v>26</v>
      </c>
      <c r="C32" s="29" t="s">
        <v>80</v>
      </c>
      <c r="D32" s="3"/>
      <c r="E32" s="3"/>
      <c r="F32" s="30"/>
      <c r="G32" s="33"/>
      <c r="H32" s="32">
        <v>1.0</v>
      </c>
      <c r="I32" s="20"/>
      <c r="J32" s="28">
        <f t="shared" si="4"/>
        <v>56</v>
      </c>
      <c r="K32" s="29" t="s">
        <v>81</v>
      </c>
      <c r="L32" s="3"/>
      <c r="M32" s="3"/>
      <c r="N32" s="4"/>
      <c r="O32" s="37">
        <v>1.0</v>
      </c>
      <c r="P32" s="52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8.0" customHeight="1">
      <c r="A33" s="20"/>
      <c r="B33" s="28">
        <f t="shared" si="3"/>
        <v>27</v>
      </c>
      <c r="C33" s="29" t="s">
        <v>82</v>
      </c>
      <c r="D33" s="3"/>
      <c r="E33" s="3"/>
      <c r="F33" s="30"/>
      <c r="G33" s="33">
        <v>1.0</v>
      </c>
      <c r="H33" s="44"/>
      <c r="I33" s="20"/>
      <c r="J33" s="20"/>
      <c r="K33" s="55" t="s">
        <v>83</v>
      </c>
      <c r="L33" s="55"/>
      <c r="M33" s="55"/>
      <c r="N33" s="55"/>
      <c r="O33" s="43"/>
      <c r="P33" s="43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8.0" customHeight="1">
      <c r="A34" s="20"/>
      <c r="B34" s="28">
        <f t="shared" si="3"/>
        <v>28</v>
      </c>
      <c r="C34" s="29" t="s">
        <v>84</v>
      </c>
      <c r="D34" s="3"/>
      <c r="E34" s="3"/>
      <c r="F34" s="30"/>
      <c r="G34" s="33">
        <v>1.0</v>
      </c>
      <c r="H34" s="44"/>
      <c r="I34" s="20"/>
      <c r="J34" s="28">
        <f>SUM(J32)+1</f>
        <v>57</v>
      </c>
      <c r="K34" s="29" t="s">
        <v>85</v>
      </c>
      <c r="L34" s="3"/>
      <c r="M34" s="3"/>
      <c r="N34" s="30"/>
      <c r="O34" s="33"/>
      <c r="P34" s="32">
        <v>1.0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8.0" customHeight="1">
      <c r="A35" s="20"/>
      <c r="B35" s="28">
        <f t="shared" si="3"/>
        <v>29</v>
      </c>
      <c r="C35" s="29" t="s">
        <v>86</v>
      </c>
      <c r="D35" s="3"/>
      <c r="E35" s="3"/>
      <c r="F35" s="30"/>
      <c r="G35" s="31"/>
      <c r="H35" s="32">
        <v>1.0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76">
    <mergeCell ref="C15:F15"/>
    <mergeCell ref="C16:F16"/>
    <mergeCell ref="C17:F17"/>
    <mergeCell ref="C18:F18"/>
    <mergeCell ref="C19:F19"/>
    <mergeCell ref="C20:F20"/>
    <mergeCell ref="C21:F21"/>
    <mergeCell ref="C30:F30"/>
    <mergeCell ref="C31:F31"/>
    <mergeCell ref="C32:F32"/>
    <mergeCell ref="C34:F34"/>
    <mergeCell ref="C35:F35"/>
    <mergeCell ref="C22:F22"/>
    <mergeCell ref="C23:F23"/>
    <mergeCell ref="C24:F24"/>
    <mergeCell ref="C25:F25"/>
    <mergeCell ref="C26:F26"/>
    <mergeCell ref="C28:F28"/>
    <mergeCell ref="C29:F29"/>
    <mergeCell ref="K22:N22"/>
    <mergeCell ref="K23:N23"/>
    <mergeCell ref="K24:N24"/>
    <mergeCell ref="K25:N25"/>
    <mergeCell ref="O26:O27"/>
    <mergeCell ref="P26:P27"/>
    <mergeCell ref="C27:F27"/>
    <mergeCell ref="K32:N32"/>
    <mergeCell ref="C33:F33"/>
    <mergeCell ref="K26:N26"/>
    <mergeCell ref="K28:N28"/>
    <mergeCell ref="K29:N29"/>
    <mergeCell ref="K30:N30"/>
    <mergeCell ref="K31:N31"/>
    <mergeCell ref="O32:O33"/>
    <mergeCell ref="P32:P33"/>
    <mergeCell ref="K34:N34"/>
    <mergeCell ref="G6:G7"/>
    <mergeCell ref="H6:H7"/>
    <mergeCell ref="T5:W5"/>
    <mergeCell ref="T6:U6"/>
    <mergeCell ref="V6:W6"/>
    <mergeCell ref="T9:W9"/>
    <mergeCell ref="T10:U10"/>
    <mergeCell ref="V10:W10"/>
    <mergeCell ref="T11:U11"/>
    <mergeCell ref="V11:W11"/>
    <mergeCell ref="C1:L1"/>
    <mergeCell ref="C2:L2"/>
    <mergeCell ref="C3:L3"/>
    <mergeCell ref="C5:F5"/>
    <mergeCell ref="K5:N5"/>
    <mergeCell ref="K6:N6"/>
    <mergeCell ref="K7:N7"/>
    <mergeCell ref="G13:G14"/>
    <mergeCell ref="H13:H14"/>
    <mergeCell ref="C6:F6"/>
    <mergeCell ref="C8:F8"/>
    <mergeCell ref="C9:F9"/>
    <mergeCell ref="C10:F10"/>
    <mergeCell ref="C11:F11"/>
    <mergeCell ref="C12:F12"/>
    <mergeCell ref="C13:F13"/>
    <mergeCell ref="K8:N8"/>
    <mergeCell ref="K9:N9"/>
    <mergeCell ref="K10:N10"/>
    <mergeCell ref="K11:N11"/>
    <mergeCell ref="K12:N12"/>
    <mergeCell ref="K13:N13"/>
    <mergeCell ref="K14:N14"/>
    <mergeCell ref="K15:N15"/>
    <mergeCell ref="K16:N16"/>
    <mergeCell ref="K17:N17"/>
    <mergeCell ref="K18:N18"/>
    <mergeCell ref="K19:N19"/>
    <mergeCell ref="K20:N20"/>
    <mergeCell ref="K21:N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.86"/>
    <col customWidth="1" min="3" max="3" width="6.43"/>
    <col customWidth="1" min="4" max="4" width="3.86"/>
    <col customWidth="1" min="5" max="5" width="5.29"/>
    <col customWidth="1" min="6" max="6" width="4.14"/>
    <col customWidth="1" min="7" max="7" width="4.86"/>
    <col customWidth="1" min="8" max="9" width="3.86"/>
    <col customWidth="1" min="10" max="10" width="3.57"/>
    <col customWidth="1" min="11" max="11" width="2.57"/>
    <col customWidth="1" min="12" max="12" width="3.71"/>
    <col customWidth="1" min="13" max="13" width="3.86"/>
    <col customWidth="1" min="14" max="14" width="4.43"/>
    <col customWidth="1" min="15" max="15" width="4.57"/>
    <col customWidth="1" min="16" max="20" width="3.86"/>
    <col customWidth="1" min="21" max="38" width="8.14"/>
    <col customWidth="1" min="39" max="42" width="3.86"/>
    <col customWidth="1" min="43" max="52" width="2.43"/>
    <col customWidth="1" min="53" max="55" width="9.57"/>
  </cols>
  <sheetData>
    <row r="1" ht="12.75" customHeight="1">
      <c r="A1" s="56"/>
      <c r="B1" s="56"/>
      <c r="C1" s="57" t="s">
        <v>2</v>
      </c>
      <c r="D1" s="58"/>
      <c r="E1" s="58"/>
      <c r="F1" s="58"/>
      <c r="G1" s="58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6"/>
    </row>
    <row r="2" ht="12.75" customHeight="1">
      <c r="A2" s="56"/>
      <c r="B2" s="56"/>
      <c r="C2" s="60" t="str">
        <f>INTRO!D6</f>
        <v>Nathalie Estigarribia</v>
      </c>
      <c r="D2" s="35"/>
      <c r="E2" s="35"/>
      <c r="F2" s="35"/>
      <c r="G2" s="35"/>
      <c r="H2" s="35"/>
      <c r="I2" s="35"/>
      <c r="J2" s="35"/>
      <c r="K2" s="35"/>
      <c r="L2" s="35"/>
      <c r="M2" s="3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6"/>
    </row>
    <row r="3" ht="12.75" customHeight="1">
      <c r="A3" s="56"/>
      <c r="B3" s="56"/>
      <c r="C3" s="57" t="s">
        <v>4</v>
      </c>
      <c r="D3" s="56"/>
      <c r="E3" s="61">
        <f>INTRO!C7</f>
        <v>32</v>
      </c>
      <c r="F3" s="62"/>
      <c r="G3" s="57" t="s">
        <v>5</v>
      </c>
      <c r="H3" s="56"/>
      <c r="I3" s="63">
        <f>INTRO!G7</f>
        <v>45402</v>
      </c>
      <c r="J3" s="64"/>
      <c r="K3" s="64"/>
      <c r="L3" s="64"/>
      <c r="M3" s="62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6"/>
    </row>
    <row r="4" ht="12.75" customHeight="1">
      <c r="A4" s="56"/>
      <c r="B4" s="56"/>
      <c r="C4" s="57" t="s">
        <v>6</v>
      </c>
      <c r="D4" s="56"/>
      <c r="E4" s="56"/>
      <c r="F4" s="65" t="str">
        <f>INTRO!C8</f>
        <v>Psicologo</v>
      </c>
      <c r="G4" s="3"/>
      <c r="H4" s="3"/>
      <c r="I4" s="3"/>
      <c r="J4" s="3"/>
      <c r="K4" s="3"/>
      <c r="L4" s="3"/>
      <c r="M4" s="4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6"/>
    </row>
    <row r="5" ht="12.75" customHeight="1">
      <c r="A5" s="56"/>
      <c r="B5" s="56"/>
      <c r="C5" s="57" t="s">
        <v>8</v>
      </c>
      <c r="D5" s="56"/>
      <c r="E5" s="65" t="str">
        <f>INTRO!G8</f>
        <v/>
      </c>
      <c r="F5" s="3"/>
      <c r="G5" s="4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6"/>
    </row>
    <row r="6" ht="12.75" customHeight="1">
      <c r="A6" s="56"/>
      <c r="B6" s="56"/>
      <c r="C6" s="57" t="s">
        <v>87</v>
      </c>
      <c r="D6" s="56"/>
      <c r="E6" s="56"/>
      <c r="F6" s="56"/>
      <c r="G6" s="65" t="str">
        <f>INTRO!C10</f>
        <v>Jaquelin martinez prado</v>
      </c>
      <c r="H6" s="3"/>
      <c r="I6" s="3"/>
      <c r="J6" s="3"/>
      <c r="K6" s="3"/>
      <c r="L6" s="3"/>
      <c r="M6" s="4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9"/>
      <c r="AP6" s="59"/>
      <c r="AQ6" s="66" t="s">
        <v>26</v>
      </c>
      <c r="AR6" s="66"/>
      <c r="AS6" s="66" t="s">
        <v>36</v>
      </c>
      <c r="AT6" s="66"/>
      <c r="AU6" s="66" t="s">
        <v>39</v>
      </c>
      <c r="AV6" s="66"/>
      <c r="AW6" s="66"/>
      <c r="AX6" s="66"/>
      <c r="AY6" s="66"/>
      <c r="AZ6" s="66"/>
      <c r="BA6" s="66"/>
      <c r="BB6" s="66"/>
      <c r="BC6" s="67"/>
    </row>
    <row r="7" ht="12.75" customHeight="1">
      <c r="A7" s="56"/>
      <c r="B7" s="56"/>
      <c r="C7" s="56"/>
      <c r="D7" s="56"/>
      <c r="E7" s="56"/>
      <c r="F7" s="56"/>
      <c r="G7" s="68"/>
      <c r="H7" s="68" t="s">
        <v>88</v>
      </c>
      <c r="I7" s="68"/>
      <c r="J7" s="68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9"/>
      <c r="AP7" s="59"/>
      <c r="AQ7" s="66">
        <v>1.0</v>
      </c>
      <c r="AR7" s="66" t="s">
        <v>88</v>
      </c>
      <c r="AS7" s="66">
        <v>1.0</v>
      </c>
      <c r="AT7" s="66" t="s">
        <v>89</v>
      </c>
      <c r="AU7" s="66">
        <v>1.0</v>
      </c>
      <c r="AV7" s="66" t="s">
        <v>90</v>
      </c>
      <c r="AW7" s="66"/>
      <c r="AX7" s="66" t="s">
        <v>36</v>
      </c>
      <c r="AY7" s="66" t="s">
        <v>39</v>
      </c>
      <c r="AZ7" s="66"/>
      <c r="BA7" s="66"/>
      <c r="BB7" s="66"/>
      <c r="BC7" s="67"/>
    </row>
    <row r="8" ht="12.75" customHeight="1">
      <c r="A8" s="56"/>
      <c r="B8" s="56"/>
      <c r="C8" s="56"/>
      <c r="D8" s="56"/>
      <c r="E8" s="56"/>
      <c r="F8" s="56"/>
      <c r="G8" s="68"/>
      <c r="H8" s="68" t="s">
        <v>91</v>
      </c>
      <c r="I8" s="68"/>
      <c r="J8" s="68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9"/>
      <c r="AP8" s="59"/>
      <c r="AQ8" s="66">
        <v>2.0</v>
      </c>
      <c r="AR8" s="66" t="s">
        <v>88</v>
      </c>
      <c r="AS8" s="66">
        <v>2.0</v>
      </c>
      <c r="AT8" s="66" t="s">
        <v>89</v>
      </c>
      <c r="AU8" s="66">
        <v>2.0</v>
      </c>
      <c r="AV8" s="66" t="s">
        <v>90</v>
      </c>
      <c r="AW8" s="66"/>
      <c r="AX8" s="66" t="s">
        <v>92</v>
      </c>
      <c r="AY8" s="69" t="s">
        <v>93</v>
      </c>
      <c r="AZ8" s="66" t="s">
        <v>94</v>
      </c>
      <c r="BA8" s="66"/>
      <c r="BB8" s="66"/>
      <c r="BC8" s="67"/>
    </row>
    <row r="9" ht="15.75" customHeight="1">
      <c r="A9" s="56"/>
      <c r="B9" s="56"/>
      <c r="C9" s="70" t="s">
        <v>23</v>
      </c>
      <c r="D9" s="35"/>
      <c r="E9" s="35"/>
      <c r="F9" s="36"/>
      <c r="G9" s="56"/>
      <c r="H9" s="71" t="s">
        <v>95</v>
      </c>
      <c r="I9" s="71"/>
      <c r="J9" s="71"/>
      <c r="K9" s="71"/>
      <c r="L9" s="71"/>
      <c r="M9" s="71"/>
      <c r="N9" s="71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9"/>
      <c r="AP9" s="59"/>
      <c r="AQ9" s="66">
        <v>3.0</v>
      </c>
      <c r="AR9" s="66" t="s">
        <v>88</v>
      </c>
      <c r="AS9" s="66">
        <v>3.0</v>
      </c>
      <c r="AT9" s="66" t="s">
        <v>89</v>
      </c>
      <c r="AU9" s="66">
        <v>3.0</v>
      </c>
      <c r="AV9" s="66" t="s">
        <v>90</v>
      </c>
      <c r="AW9" s="66"/>
      <c r="AX9" s="66" t="s">
        <v>96</v>
      </c>
      <c r="AY9" s="69" t="s">
        <v>93</v>
      </c>
      <c r="AZ9" s="66"/>
      <c r="BA9" s="66"/>
      <c r="BB9" s="66"/>
      <c r="BC9" s="67"/>
    </row>
    <row r="10" ht="20.25" customHeight="1">
      <c r="A10" s="56"/>
      <c r="B10" s="56"/>
      <c r="C10" s="72" t="s">
        <v>26</v>
      </c>
      <c r="D10" s="36"/>
      <c r="E10" s="73">
        <f>FORMAB!V6</f>
        <v>2</v>
      </c>
      <c r="F10" s="36"/>
      <c r="G10" s="56"/>
      <c r="H10" s="60" t="str">
        <f>LOOKUP(E10,AQ7:AR15)</f>
        <v>VALIDO</v>
      </c>
      <c r="I10" s="35"/>
      <c r="J10" s="35"/>
      <c r="K10" s="35"/>
      <c r="L10" s="35"/>
      <c r="M10" s="35"/>
      <c r="N10" s="3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9"/>
      <c r="AP10" s="59"/>
      <c r="AQ10" s="66">
        <v>4.0</v>
      </c>
      <c r="AR10" s="66" t="s">
        <v>88</v>
      </c>
      <c r="AS10" s="66">
        <v>4.0</v>
      </c>
      <c r="AT10" s="66" t="s">
        <v>89</v>
      </c>
      <c r="AU10" s="66">
        <v>4.0</v>
      </c>
      <c r="AV10" s="66" t="s">
        <v>90</v>
      </c>
      <c r="AW10" s="66"/>
      <c r="AX10" s="66" t="s">
        <v>97</v>
      </c>
      <c r="AY10" s="69" t="s">
        <v>93</v>
      </c>
      <c r="AZ10" s="66"/>
      <c r="BA10" s="66"/>
      <c r="BB10" s="66"/>
      <c r="BC10" s="67"/>
    </row>
    <row r="11" ht="15.75" customHeight="1">
      <c r="A11" s="56"/>
      <c r="B11" s="56"/>
      <c r="C11" s="74" t="s">
        <v>33</v>
      </c>
      <c r="D11" s="48"/>
      <c r="E11" s="48"/>
      <c r="F11" s="49"/>
      <c r="G11" s="56"/>
      <c r="H11" s="56"/>
      <c r="I11" s="61" t="s">
        <v>98</v>
      </c>
      <c r="J11" s="64"/>
      <c r="K11" s="64"/>
      <c r="L11" s="62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9"/>
      <c r="AP11" s="59"/>
      <c r="AQ11" s="66">
        <v>5.0</v>
      </c>
      <c r="AR11" s="66" t="s">
        <v>91</v>
      </c>
      <c r="AS11" s="66">
        <v>5.0</v>
      </c>
      <c r="AT11" s="66" t="s">
        <v>89</v>
      </c>
      <c r="AU11" s="66">
        <v>5.0</v>
      </c>
      <c r="AV11" s="66" t="s">
        <v>90</v>
      </c>
      <c r="AW11" s="66"/>
      <c r="AX11" s="66" t="s">
        <v>99</v>
      </c>
      <c r="AY11" s="66" t="s">
        <v>100</v>
      </c>
      <c r="AZ11" s="66"/>
      <c r="BA11" s="66"/>
      <c r="BB11" s="66"/>
      <c r="BC11" s="67"/>
    </row>
    <row r="12" ht="21.75" customHeight="1">
      <c r="A12" s="56"/>
      <c r="B12" s="56"/>
      <c r="C12" s="72" t="s">
        <v>36</v>
      </c>
      <c r="D12" s="36"/>
      <c r="E12" s="75">
        <f>FORMAB!V10</f>
        <v>12</v>
      </c>
      <c r="F12" s="36"/>
      <c r="G12" s="56"/>
      <c r="H12" s="56"/>
      <c r="I12" s="56"/>
      <c r="J12" s="76" t="s">
        <v>36</v>
      </c>
      <c r="K12" s="4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9"/>
      <c r="AP12" s="59"/>
      <c r="AQ12" s="66">
        <v>6.0</v>
      </c>
      <c r="AR12" s="66" t="s">
        <v>91</v>
      </c>
      <c r="AS12" s="66">
        <v>6.0</v>
      </c>
      <c r="AT12" s="66" t="s">
        <v>89</v>
      </c>
      <c r="AU12" s="66">
        <v>6.0</v>
      </c>
      <c r="AV12" s="66" t="s">
        <v>90</v>
      </c>
      <c r="AW12" s="66"/>
      <c r="AX12" s="66" t="s">
        <v>101</v>
      </c>
      <c r="AY12" s="66" t="s">
        <v>100</v>
      </c>
      <c r="AZ12" s="66"/>
      <c r="BA12" s="66"/>
      <c r="BB12" s="66"/>
      <c r="BC12" s="67"/>
    </row>
    <row r="13" ht="21.75" customHeight="1">
      <c r="A13" s="56"/>
      <c r="B13" s="56"/>
      <c r="C13" s="72" t="s">
        <v>39</v>
      </c>
      <c r="D13" s="36"/>
      <c r="E13" s="75">
        <f>FORMAB!V11</f>
        <v>10</v>
      </c>
      <c r="F13" s="36"/>
      <c r="G13" s="56"/>
      <c r="H13" s="56"/>
      <c r="I13" s="56"/>
      <c r="J13" s="56"/>
      <c r="K13" s="77">
        <v>24.0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9"/>
      <c r="AP13" s="59"/>
      <c r="AQ13" s="66">
        <v>7.0</v>
      </c>
      <c r="AR13" s="66" t="s">
        <v>91</v>
      </c>
      <c r="AS13" s="66">
        <v>7.0</v>
      </c>
      <c r="AT13" s="66" t="s">
        <v>102</v>
      </c>
      <c r="AU13" s="66">
        <v>7.0</v>
      </c>
      <c r="AV13" s="66" t="s">
        <v>90</v>
      </c>
      <c r="AW13" s="66"/>
      <c r="AX13" s="66" t="s">
        <v>103</v>
      </c>
      <c r="AY13" s="66" t="s">
        <v>100</v>
      </c>
      <c r="AZ13" s="66"/>
      <c r="BA13" s="66"/>
      <c r="BB13" s="66"/>
      <c r="BC13" s="67"/>
    </row>
    <row r="14" ht="11.2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77">
        <v>23.0</v>
      </c>
      <c r="L14" s="78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9"/>
      <c r="AP14" s="59"/>
      <c r="AQ14" s="66">
        <v>8.0</v>
      </c>
      <c r="AR14" s="66" t="s">
        <v>91</v>
      </c>
      <c r="AS14" s="66">
        <v>8.0</v>
      </c>
      <c r="AT14" s="66" t="s">
        <v>102</v>
      </c>
      <c r="AU14" s="66">
        <v>8.0</v>
      </c>
      <c r="AV14" s="66" t="s">
        <v>90</v>
      </c>
      <c r="AW14" s="66"/>
      <c r="AX14" s="66" t="s">
        <v>104</v>
      </c>
      <c r="AY14" s="66" t="s">
        <v>105</v>
      </c>
      <c r="AZ14" s="66"/>
      <c r="BA14" s="66"/>
      <c r="BB14" s="66"/>
      <c r="BC14" s="67"/>
    </row>
    <row r="15" ht="11.25" customHeight="1">
      <c r="A15" s="56"/>
      <c r="B15" s="56"/>
      <c r="C15" s="56"/>
      <c r="D15" s="79" t="s">
        <v>106</v>
      </c>
      <c r="E15" s="80"/>
      <c r="F15" s="80"/>
      <c r="G15" s="81"/>
      <c r="H15" s="56"/>
      <c r="I15" s="56"/>
      <c r="J15" s="56"/>
      <c r="K15" s="77">
        <v>22.0</v>
      </c>
      <c r="L15" s="82"/>
      <c r="M15" s="56"/>
      <c r="N15" s="79" t="s">
        <v>100</v>
      </c>
      <c r="O15" s="80"/>
      <c r="P15" s="80"/>
      <c r="Q15" s="81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9"/>
      <c r="AP15" s="59"/>
      <c r="AQ15" s="66">
        <v>9.0</v>
      </c>
      <c r="AR15" s="66" t="s">
        <v>91</v>
      </c>
      <c r="AS15" s="66">
        <v>9.0</v>
      </c>
      <c r="AT15" s="66" t="s">
        <v>102</v>
      </c>
      <c r="AU15" s="66">
        <v>9.0</v>
      </c>
      <c r="AV15" s="66" t="s">
        <v>90</v>
      </c>
      <c r="AW15" s="66"/>
      <c r="AX15" s="66" t="s">
        <v>107</v>
      </c>
      <c r="AY15" s="66" t="s">
        <v>105</v>
      </c>
      <c r="AZ15" s="66"/>
      <c r="BA15" s="66"/>
      <c r="BB15" s="66"/>
      <c r="BC15" s="67"/>
    </row>
    <row r="16" ht="11.25" customHeight="1">
      <c r="A16" s="56"/>
      <c r="B16" s="56"/>
      <c r="C16" s="83"/>
      <c r="D16" s="84"/>
      <c r="E16" s="85"/>
      <c r="F16" s="85"/>
      <c r="G16" s="86"/>
      <c r="H16" s="56"/>
      <c r="I16" s="56"/>
      <c r="J16" s="56"/>
      <c r="K16" s="77">
        <v>21.0</v>
      </c>
      <c r="L16" s="56"/>
      <c r="M16" s="56"/>
      <c r="N16" s="84"/>
      <c r="O16" s="85"/>
      <c r="P16" s="85"/>
      <c r="Q16" s="8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9"/>
      <c r="AP16" s="59"/>
      <c r="AQ16" s="66"/>
      <c r="AR16" s="66"/>
      <c r="AS16" s="66">
        <v>10.0</v>
      </c>
      <c r="AT16" s="66" t="s">
        <v>102</v>
      </c>
      <c r="AU16" s="66">
        <v>10.0</v>
      </c>
      <c r="AV16" s="66" t="s">
        <v>90</v>
      </c>
      <c r="AW16" s="66"/>
      <c r="AX16" s="66" t="s">
        <v>108</v>
      </c>
      <c r="AY16" s="66" t="s">
        <v>105</v>
      </c>
      <c r="AZ16" s="66"/>
      <c r="BA16" s="66"/>
      <c r="BB16" s="66"/>
      <c r="BC16" s="67"/>
    </row>
    <row r="17" ht="11.25" customHeight="1">
      <c r="A17" s="56"/>
      <c r="B17" s="56"/>
      <c r="C17" s="83"/>
      <c r="D17" s="83"/>
      <c r="E17" s="87"/>
      <c r="F17" s="87"/>
      <c r="G17" s="56"/>
      <c r="H17" s="56"/>
      <c r="I17" s="56"/>
      <c r="J17" s="56"/>
      <c r="K17" s="77">
        <v>20.0</v>
      </c>
      <c r="L17" s="56"/>
      <c r="M17" s="56"/>
      <c r="N17" s="88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9"/>
      <c r="AP17" s="59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7"/>
    </row>
    <row r="18" ht="11.25" customHeight="1">
      <c r="A18" s="56"/>
      <c r="B18" s="56"/>
      <c r="C18" s="83"/>
      <c r="D18" s="83"/>
      <c r="E18" s="87"/>
      <c r="F18" s="87"/>
      <c r="G18" s="56"/>
      <c r="H18" s="56"/>
      <c r="I18" s="56"/>
      <c r="J18" s="56"/>
      <c r="K18" s="77">
        <v>19.0</v>
      </c>
      <c r="L18" s="56"/>
      <c r="M18" s="56"/>
      <c r="N18" s="88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9"/>
      <c r="AP18" s="59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7"/>
    </row>
    <row r="19" ht="11.25" customHeight="1">
      <c r="A19" s="56"/>
      <c r="B19" s="56"/>
      <c r="C19" s="83"/>
      <c r="D19" s="83"/>
      <c r="E19" s="87"/>
      <c r="F19" s="56" t="s">
        <v>109</v>
      </c>
      <c r="G19" s="56"/>
      <c r="H19" s="56"/>
      <c r="I19" s="56"/>
      <c r="J19" s="56"/>
      <c r="K19" s="77">
        <v>18.0</v>
      </c>
      <c r="L19" s="56"/>
      <c r="M19" s="56"/>
      <c r="N19" s="56" t="s">
        <v>109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9"/>
      <c r="AP19" s="59"/>
      <c r="AQ19" s="66"/>
      <c r="AR19" s="66"/>
      <c r="AS19" s="66">
        <v>11.0</v>
      </c>
      <c r="AT19" s="66" t="s">
        <v>102</v>
      </c>
      <c r="AU19" s="66">
        <v>11.0</v>
      </c>
      <c r="AV19" s="66" t="s">
        <v>110</v>
      </c>
      <c r="AW19" s="66"/>
      <c r="AX19" s="66" t="s">
        <v>111</v>
      </c>
      <c r="AY19" s="66" t="s">
        <v>106</v>
      </c>
      <c r="AZ19" s="66"/>
      <c r="BA19" s="66"/>
      <c r="BB19" s="66"/>
      <c r="BC19" s="67"/>
    </row>
    <row r="20" ht="11.25" customHeight="1">
      <c r="A20" s="56"/>
      <c r="B20" s="56"/>
      <c r="C20" s="83"/>
      <c r="D20" s="83"/>
      <c r="E20" s="87"/>
      <c r="F20" s="87"/>
      <c r="G20" s="56"/>
      <c r="H20" s="56"/>
      <c r="I20" s="56"/>
      <c r="J20" s="56"/>
      <c r="K20" s="77">
        <v>17.0</v>
      </c>
      <c r="L20" s="56"/>
      <c r="M20" s="56"/>
      <c r="N20" s="88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9"/>
      <c r="AP20" s="59"/>
      <c r="AQ20" s="66"/>
      <c r="AR20" s="66"/>
      <c r="AS20" s="66">
        <v>12.0</v>
      </c>
      <c r="AT20" s="66" t="s">
        <v>112</v>
      </c>
      <c r="AU20" s="66">
        <v>12.0</v>
      </c>
      <c r="AV20" s="66" t="s">
        <v>110</v>
      </c>
      <c r="AW20" s="66"/>
      <c r="AX20" s="66" t="s">
        <v>113</v>
      </c>
      <c r="AY20" s="66" t="s">
        <v>106</v>
      </c>
      <c r="AZ20" s="66"/>
      <c r="BA20" s="66"/>
      <c r="BB20" s="66"/>
      <c r="BC20" s="67"/>
    </row>
    <row r="21" ht="11.25" customHeight="1">
      <c r="A21" s="56"/>
      <c r="B21" s="56"/>
      <c r="C21" s="83"/>
      <c r="D21" s="83"/>
      <c r="E21" s="87"/>
      <c r="F21" s="87"/>
      <c r="G21" s="56"/>
      <c r="H21" s="56"/>
      <c r="I21" s="56"/>
      <c r="J21" s="56"/>
      <c r="K21" s="77">
        <v>16.0</v>
      </c>
      <c r="L21" s="56"/>
      <c r="M21" s="56"/>
      <c r="N21" s="88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9"/>
      <c r="AP21" s="59"/>
      <c r="AQ21" s="66"/>
      <c r="AR21" s="66"/>
      <c r="AS21" s="66">
        <v>13.0</v>
      </c>
      <c r="AT21" s="66" t="s">
        <v>112</v>
      </c>
      <c r="AU21" s="66">
        <v>13.0</v>
      </c>
      <c r="AV21" s="66" t="s">
        <v>110</v>
      </c>
      <c r="AW21" s="66"/>
      <c r="AX21" s="66" t="s">
        <v>114</v>
      </c>
      <c r="AY21" s="66" t="s">
        <v>106</v>
      </c>
      <c r="AZ21" s="66"/>
      <c r="BA21" s="66"/>
      <c r="BB21" s="66"/>
      <c r="BC21" s="67"/>
    </row>
    <row r="22" ht="11.25" customHeight="1">
      <c r="A22" s="56"/>
      <c r="B22" s="56"/>
      <c r="C22" s="83"/>
      <c r="D22" s="83"/>
      <c r="E22" s="87"/>
      <c r="F22" s="87"/>
      <c r="G22" s="56"/>
      <c r="H22" s="56"/>
      <c r="I22" s="56"/>
      <c r="J22" s="56"/>
      <c r="K22" s="77">
        <v>15.0</v>
      </c>
      <c r="L22" s="56"/>
      <c r="M22" s="56"/>
      <c r="N22" s="88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9"/>
      <c r="AP22" s="59"/>
      <c r="AQ22" s="66"/>
      <c r="AR22" s="66"/>
      <c r="AS22" s="66">
        <v>14.0</v>
      </c>
      <c r="AT22" s="66" t="s">
        <v>112</v>
      </c>
      <c r="AU22" s="66">
        <v>14.0</v>
      </c>
      <c r="AV22" s="66" t="s">
        <v>115</v>
      </c>
      <c r="AW22" s="66"/>
      <c r="AX22" s="66"/>
      <c r="AY22" s="66"/>
      <c r="AZ22" s="66"/>
      <c r="BA22" s="66"/>
      <c r="BB22" s="66"/>
      <c r="BC22" s="67"/>
    </row>
    <row r="23" ht="11.25" customHeight="1">
      <c r="A23" s="56"/>
      <c r="B23" s="56"/>
      <c r="C23" s="83"/>
      <c r="D23" s="83"/>
      <c r="E23" s="87"/>
      <c r="F23" s="87"/>
      <c r="G23" s="56"/>
      <c r="H23" s="56"/>
      <c r="I23" s="56"/>
      <c r="J23" s="56"/>
      <c r="K23" s="77">
        <v>14.0</v>
      </c>
      <c r="L23" s="56"/>
      <c r="M23" s="56"/>
      <c r="N23" s="88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9"/>
      <c r="AP23" s="59"/>
      <c r="AQ23" s="66"/>
      <c r="AR23" s="66"/>
      <c r="AS23" s="66">
        <v>15.0</v>
      </c>
      <c r="AT23" s="66" t="s">
        <v>112</v>
      </c>
      <c r="AU23" s="66">
        <v>15.0</v>
      </c>
      <c r="AV23" s="66" t="s">
        <v>115</v>
      </c>
      <c r="AW23" s="66"/>
      <c r="AX23" s="66"/>
      <c r="AY23" s="66"/>
      <c r="AZ23" s="66"/>
      <c r="BA23" s="66"/>
      <c r="BB23" s="66"/>
      <c r="BC23" s="67"/>
    </row>
    <row r="24" ht="11.25" customHeight="1">
      <c r="A24" s="56"/>
      <c r="B24" s="56"/>
      <c r="C24" s="83"/>
      <c r="D24" s="83"/>
      <c r="E24" s="87"/>
      <c r="F24" s="87"/>
      <c r="G24" s="56"/>
      <c r="H24" s="56"/>
      <c r="I24" s="56"/>
      <c r="J24" s="56"/>
      <c r="K24" s="77">
        <v>13.0</v>
      </c>
      <c r="L24" s="56"/>
      <c r="M24" s="56"/>
      <c r="N24" s="88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9"/>
      <c r="AP24" s="59"/>
      <c r="AQ24" s="66"/>
      <c r="AR24" s="66"/>
      <c r="AS24" s="66">
        <v>16.0</v>
      </c>
      <c r="AT24" s="66" t="s">
        <v>112</v>
      </c>
      <c r="AU24" s="66">
        <v>16.0</v>
      </c>
      <c r="AV24" s="66" t="s">
        <v>115</v>
      </c>
      <c r="AW24" s="66"/>
      <c r="AX24" s="66"/>
      <c r="AY24" s="66"/>
      <c r="AZ24" s="66"/>
      <c r="BA24" s="66"/>
      <c r="BB24" s="66"/>
      <c r="BC24" s="67"/>
    </row>
    <row r="25" ht="11.25" customHeight="1">
      <c r="A25" s="56"/>
      <c r="B25" s="56"/>
      <c r="C25" s="89" t="s">
        <v>39</v>
      </c>
      <c r="D25" s="90" t="s">
        <v>116</v>
      </c>
      <c r="E25" s="91"/>
      <c r="F25" s="91"/>
      <c r="G25" s="91"/>
      <c r="H25" s="91"/>
      <c r="I25" s="91"/>
      <c r="J25" s="92"/>
      <c r="K25" s="93">
        <v>12.0</v>
      </c>
      <c r="L25" s="94" t="s">
        <v>117</v>
      </c>
      <c r="M25" s="91"/>
      <c r="N25" s="91"/>
      <c r="O25" s="91"/>
      <c r="P25" s="91"/>
      <c r="Q25" s="91"/>
      <c r="R25" s="95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9"/>
      <c r="AP25" s="59"/>
      <c r="AQ25" s="66"/>
      <c r="AR25" s="66"/>
      <c r="AS25" s="66">
        <v>17.0</v>
      </c>
      <c r="AT25" s="66" t="s">
        <v>118</v>
      </c>
      <c r="AU25" s="66">
        <v>17.0</v>
      </c>
      <c r="AV25" s="66" t="s">
        <v>119</v>
      </c>
      <c r="AW25" s="66"/>
      <c r="AX25" s="66"/>
      <c r="AY25" s="66"/>
      <c r="AZ25" s="66"/>
      <c r="BA25" s="66"/>
      <c r="BB25" s="66"/>
      <c r="BC25" s="67"/>
    </row>
    <row r="26" ht="12.0" customHeight="1">
      <c r="A26" s="56"/>
      <c r="B26" s="56"/>
      <c r="C26" s="96"/>
      <c r="D26" s="83"/>
      <c r="E26" s="87"/>
      <c r="F26" s="87"/>
      <c r="G26" s="56"/>
      <c r="H26" s="56"/>
      <c r="I26" s="56"/>
      <c r="J26" s="56"/>
      <c r="K26" s="77">
        <v>11.0</v>
      </c>
      <c r="L26" s="56"/>
      <c r="M26" s="56"/>
      <c r="N26" s="88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9"/>
      <c r="AP26" s="59"/>
      <c r="AQ26" s="66"/>
      <c r="AR26" s="66"/>
      <c r="AS26" s="66">
        <v>18.0</v>
      </c>
      <c r="AT26" s="66" t="s">
        <v>118</v>
      </c>
      <c r="AU26" s="66">
        <v>18.0</v>
      </c>
      <c r="AV26" s="66" t="s">
        <v>119</v>
      </c>
      <c r="AW26" s="66"/>
      <c r="AX26" s="66"/>
      <c r="AY26" s="66"/>
      <c r="AZ26" s="66"/>
      <c r="BA26" s="66"/>
      <c r="BB26" s="66"/>
      <c r="BC26" s="67"/>
    </row>
    <row r="27" ht="12.0" customHeight="1">
      <c r="A27" s="56"/>
      <c r="B27" s="56"/>
      <c r="C27" s="83"/>
      <c r="D27" s="83"/>
      <c r="E27" s="87"/>
      <c r="F27" s="87"/>
      <c r="G27" s="56"/>
      <c r="H27" s="56"/>
      <c r="I27" s="56"/>
      <c r="J27" s="56"/>
      <c r="K27" s="77">
        <v>10.0</v>
      </c>
      <c r="L27" s="56"/>
      <c r="M27" s="56"/>
      <c r="N27" s="88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9"/>
      <c r="AP27" s="59"/>
      <c r="AQ27" s="66"/>
      <c r="AR27" s="66"/>
      <c r="AS27" s="66">
        <v>19.0</v>
      </c>
      <c r="AT27" s="66" t="s">
        <v>118</v>
      </c>
      <c r="AU27" s="66">
        <v>19.0</v>
      </c>
      <c r="AV27" s="66" t="s">
        <v>119</v>
      </c>
      <c r="AW27" s="66"/>
      <c r="AX27" s="66"/>
      <c r="AY27" s="66"/>
      <c r="AZ27" s="66"/>
      <c r="BA27" s="66"/>
      <c r="BB27" s="66"/>
      <c r="BC27" s="67"/>
    </row>
    <row r="28" ht="12.0" customHeight="1">
      <c r="A28" s="56"/>
      <c r="B28" s="56"/>
      <c r="C28" s="83"/>
      <c r="D28" s="83"/>
      <c r="E28" s="87"/>
      <c r="F28" s="87"/>
      <c r="G28" s="56"/>
      <c r="H28" s="56"/>
      <c r="I28" s="56"/>
      <c r="J28" s="56"/>
      <c r="K28" s="77">
        <v>9.0</v>
      </c>
      <c r="L28" s="56"/>
      <c r="M28" s="56"/>
      <c r="N28" s="88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9"/>
      <c r="AP28" s="59"/>
      <c r="AQ28" s="66"/>
      <c r="AR28" s="66"/>
      <c r="AS28" s="66">
        <v>20.0</v>
      </c>
      <c r="AT28" s="66" t="s">
        <v>118</v>
      </c>
      <c r="AU28" s="66">
        <v>20.0</v>
      </c>
      <c r="AV28" s="66" t="s">
        <v>119</v>
      </c>
      <c r="AW28" s="66"/>
      <c r="AX28" s="66"/>
      <c r="AY28" s="69" t="s">
        <v>93</v>
      </c>
      <c r="AZ28" s="66" t="s">
        <v>120</v>
      </c>
      <c r="BA28" s="66"/>
      <c r="BB28" s="66"/>
      <c r="BC28" s="67"/>
    </row>
    <row r="29" ht="12.0" customHeight="1">
      <c r="A29" s="56"/>
      <c r="B29" s="56"/>
      <c r="C29" s="83"/>
      <c r="D29" s="83"/>
      <c r="E29" s="87"/>
      <c r="F29" s="87"/>
      <c r="G29" s="56"/>
      <c r="H29" s="56"/>
      <c r="I29" s="56"/>
      <c r="J29" s="56"/>
      <c r="K29" s="77">
        <v>8.0</v>
      </c>
      <c r="L29" s="56"/>
      <c r="M29" s="56"/>
      <c r="N29" s="88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9"/>
      <c r="AP29" s="59"/>
      <c r="AQ29" s="66"/>
      <c r="AR29" s="66"/>
      <c r="AS29" s="66">
        <v>21.0</v>
      </c>
      <c r="AT29" s="66" t="s">
        <v>118</v>
      </c>
      <c r="AU29" s="66">
        <v>21.0</v>
      </c>
      <c r="AV29" s="66" t="s">
        <v>119</v>
      </c>
      <c r="AW29" s="66"/>
      <c r="AX29" s="66"/>
      <c r="AY29" s="66" t="s">
        <v>100</v>
      </c>
      <c r="AZ29" s="66" t="s">
        <v>121</v>
      </c>
      <c r="BA29" s="66"/>
      <c r="BB29" s="66"/>
      <c r="BC29" s="67"/>
    </row>
    <row r="30" ht="12.0" customHeight="1">
      <c r="A30" s="56"/>
      <c r="B30" s="56"/>
      <c r="C30" s="83"/>
      <c r="D30" s="83"/>
      <c r="E30" s="87"/>
      <c r="F30" s="87"/>
      <c r="G30" s="56"/>
      <c r="H30" s="56"/>
      <c r="I30" s="56"/>
      <c r="J30" s="56"/>
      <c r="K30" s="77">
        <v>7.0</v>
      </c>
      <c r="L30" s="56"/>
      <c r="M30" s="56"/>
      <c r="N30" s="88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9"/>
      <c r="AP30" s="59"/>
      <c r="AQ30" s="66"/>
      <c r="AR30" s="66"/>
      <c r="AS30" s="66">
        <v>22.0</v>
      </c>
      <c r="AT30" s="66" t="s">
        <v>118</v>
      </c>
      <c r="AU30" s="66">
        <v>22.0</v>
      </c>
      <c r="AV30" s="66" t="s">
        <v>119</v>
      </c>
      <c r="AW30" s="66"/>
      <c r="AX30" s="66"/>
      <c r="AY30" s="66" t="s">
        <v>105</v>
      </c>
      <c r="AZ30" s="66" t="s">
        <v>122</v>
      </c>
      <c r="BA30" s="66"/>
      <c r="BB30" s="66"/>
      <c r="BC30" s="67"/>
    </row>
    <row r="31" ht="12.0" customHeight="1">
      <c r="A31" s="56"/>
      <c r="B31" s="56"/>
      <c r="C31" s="83"/>
      <c r="D31" s="83"/>
      <c r="E31" s="87"/>
      <c r="F31" s="87"/>
      <c r="G31" s="56"/>
      <c r="H31" s="56"/>
      <c r="I31" s="56"/>
      <c r="J31" s="56"/>
      <c r="K31" s="77">
        <v>6.0</v>
      </c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9"/>
      <c r="AP31" s="59"/>
      <c r="AQ31" s="66"/>
      <c r="AR31" s="66"/>
      <c r="AS31" s="66">
        <v>23.0</v>
      </c>
      <c r="AT31" s="66" t="s">
        <v>118</v>
      </c>
      <c r="AU31" s="66">
        <v>23.0</v>
      </c>
      <c r="AV31" s="66" t="s">
        <v>119</v>
      </c>
      <c r="AW31" s="66"/>
      <c r="AX31" s="66"/>
      <c r="AY31" s="66" t="s">
        <v>106</v>
      </c>
      <c r="AZ31" s="66" t="s">
        <v>123</v>
      </c>
      <c r="BA31" s="66"/>
      <c r="BB31" s="66"/>
      <c r="BC31" s="67"/>
    </row>
    <row r="32" ht="12.0" customHeight="1">
      <c r="A32" s="56"/>
      <c r="B32" s="56"/>
      <c r="C32" s="83"/>
      <c r="D32" s="56"/>
      <c r="E32" s="56"/>
      <c r="F32" s="56" t="s">
        <v>109</v>
      </c>
      <c r="G32" s="56"/>
      <c r="H32" s="56"/>
      <c r="I32" s="56"/>
      <c r="J32" s="56"/>
      <c r="K32" s="77">
        <v>5.0</v>
      </c>
      <c r="L32" s="56"/>
      <c r="M32" s="56"/>
      <c r="N32" s="56" t="s">
        <v>109</v>
      </c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9"/>
      <c r="AP32" s="59"/>
      <c r="AQ32" s="66"/>
      <c r="AR32" s="66"/>
      <c r="AS32" s="66">
        <v>24.0</v>
      </c>
      <c r="AT32" s="66" t="s">
        <v>118</v>
      </c>
      <c r="AU32" s="66">
        <v>24.0</v>
      </c>
      <c r="AV32" s="66" t="s">
        <v>119</v>
      </c>
      <c r="AW32" s="66"/>
      <c r="AX32" s="66"/>
      <c r="AY32" s="66"/>
      <c r="AZ32" s="66"/>
      <c r="BA32" s="66"/>
      <c r="BB32" s="66"/>
      <c r="BC32" s="67"/>
    </row>
    <row r="33" ht="12.0" customHeight="1">
      <c r="A33" s="56"/>
      <c r="B33" s="56"/>
      <c r="C33" s="83"/>
      <c r="D33" s="56"/>
      <c r="E33" s="56"/>
      <c r="F33" s="56"/>
      <c r="G33" s="56"/>
      <c r="H33" s="56"/>
      <c r="I33" s="56"/>
      <c r="J33" s="56"/>
      <c r="K33" s="77">
        <v>4.0</v>
      </c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9"/>
      <c r="AP33" s="59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7"/>
    </row>
    <row r="34" ht="12.0" customHeight="1">
      <c r="A34" s="56"/>
      <c r="B34" s="56"/>
      <c r="C34" s="83"/>
      <c r="D34" s="79" t="s">
        <v>93</v>
      </c>
      <c r="E34" s="80"/>
      <c r="F34" s="80"/>
      <c r="G34" s="81"/>
      <c r="H34" s="56"/>
      <c r="I34" s="56"/>
      <c r="J34" s="56"/>
      <c r="K34" s="77">
        <v>3.0</v>
      </c>
      <c r="L34" s="56"/>
      <c r="M34" s="56"/>
      <c r="N34" s="88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9"/>
      <c r="AP34" s="59"/>
      <c r="AQ34" s="66"/>
      <c r="AR34" s="66"/>
      <c r="AS34" s="66">
        <v>1.0</v>
      </c>
      <c r="AT34" s="66" t="str">
        <f>LOOKUP(E12,AS7:AT32)</f>
        <v>TENDIENTE A INESTABLE</v>
      </c>
      <c r="AU34" s="66"/>
      <c r="AV34" s="66"/>
      <c r="AW34" s="66" t="str">
        <f>LOOKUP(AT34:AT35,AX8:AY21)</f>
        <v>MELANCOLICO</v>
      </c>
      <c r="AX34" s="66"/>
      <c r="AY34" s="66"/>
      <c r="AZ34" s="66"/>
      <c r="BA34" s="66"/>
      <c r="BB34" s="66"/>
      <c r="BC34" s="67"/>
    </row>
    <row r="35" ht="12.0" customHeight="1">
      <c r="A35" s="56"/>
      <c r="B35" s="56"/>
      <c r="C35" s="83"/>
      <c r="D35" s="84"/>
      <c r="E35" s="85"/>
      <c r="F35" s="85"/>
      <c r="G35" s="86"/>
      <c r="H35" s="56"/>
      <c r="I35" s="56"/>
      <c r="J35" s="56"/>
      <c r="K35" s="77">
        <v>2.0</v>
      </c>
      <c r="L35" s="56"/>
      <c r="M35" s="56"/>
      <c r="N35" s="79" t="s">
        <v>105</v>
      </c>
      <c r="O35" s="80"/>
      <c r="P35" s="80"/>
      <c r="Q35" s="81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9"/>
      <c r="AP35" s="59"/>
      <c r="AQ35" s="66"/>
      <c r="AR35" s="66"/>
      <c r="AS35" s="66">
        <v>2.0</v>
      </c>
      <c r="AT35" s="66" t="str">
        <f>LOOKUP(E13,AU7:AV39)</f>
        <v>  ALTAMENTE INTROVERTIDO</v>
      </c>
      <c r="AU35" s="66"/>
      <c r="AV35" s="66"/>
      <c r="AW35" s="66"/>
      <c r="AX35" s="66"/>
      <c r="AY35" s="66"/>
      <c r="AZ35" s="66"/>
      <c r="BA35" s="66"/>
      <c r="BB35" s="66"/>
      <c r="BC35" s="67"/>
    </row>
    <row r="36" ht="12.0" customHeight="1">
      <c r="A36" s="56"/>
      <c r="B36" s="56"/>
      <c r="C36" s="83"/>
      <c r="D36" s="83"/>
      <c r="E36" s="87"/>
      <c r="F36" s="87"/>
      <c r="G36" s="56"/>
      <c r="H36" s="56"/>
      <c r="I36" s="56"/>
      <c r="J36" s="56"/>
      <c r="K36" s="77">
        <v>1.0</v>
      </c>
      <c r="L36" s="56"/>
      <c r="M36" s="56"/>
      <c r="N36" s="84"/>
      <c r="O36" s="85"/>
      <c r="P36" s="85"/>
      <c r="Q36" s="8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9"/>
      <c r="AP36" s="59"/>
      <c r="AQ36" s="66"/>
      <c r="AR36" s="66"/>
      <c r="AS36" s="66"/>
      <c r="AT36" s="66" t="str">
        <f>AT34&amp;AT35</f>
        <v>TENDIENTE A INESTABLE  ALTAMENTE INTROVERTIDO</v>
      </c>
      <c r="AU36" s="66"/>
      <c r="AV36" s="66"/>
      <c r="AW36" s="66"/>
      <c r="AX36" s="66"/>
      <c r="AY36" s="66"/>
      <c r="AZ36" s="66"/>
      <c r="BA36" s="66"/>
      <c r="BB36" s="66"/>
      <c r="BC36" s="67"/>
    </row>
    <row r="37" ht="12.0" customHeight="1">
      <c r="A37" s="56"/>
      <c r="B37" s="56"/>
      <c r="C37" s="83"/>
      <c r="D37" s="83"/>
      <c r="E37" s="87"/>
      <c r="F37" s="87"/>
      <c r="G37" s="56"/>
      <c r="H37" s="56"/>
      <c r="I37" s="56"/>
      <c r="J37" s="56"/>
      <c r="K37" s="77">
        <v>0.0</v>
      </c>
      <c r="L37" s="56"/>
      <c r="M37" s="56"/>
      <c r="N37" s="88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9"/>
      <c r="AP37" s="59"/>
      <c r="AQ37" s="66"/>
      <c r="AR37" s="66"/>
      <c r="AS37" s="66"/>
      <c r="AT37" s="66" t="str">
        <f>LOOKUP(AT36,AX8:AX21,AY8:AY21)</f>
        <v>MELANCOLICO</v>
      </c>
      <c r="AU37" s="66"/>
      <c r="AV37" s="66"/>
      <c r="AW37" s="66"/>
      <c r="AX37" s="66"/>
      <c r="AY37" s="66"/>
      <c r="AZ37" s="66"/>
      <c r="BA37" s="66"/>
      <c r="BB37" s="66"/>
      <c r="BC37" s="67"/>
    </row>
    <row r="38" ht="8.25" customHeight="1">
      <c r="A38" s="56"/>
      <c r="B38" s="56"/>
      <c r="C38" s="83"/>
      <c r="D38" s="83"/>
      <c r="E38" s="87"/>
      <c r="F38" s="87"/>
      <c r="G38" s="56"/>
      <c r="H38" s="56"/>
      <c r="I38" s="97" t="s">
        <v>124</v>
      </c>
      <c r="J38" s="80"/>
      <c r="K38" s="80"/>
      <c r="L38" s="81"/>
      <c r="M38" s="56"/>
      <c r="N38" s="88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9"/>
      <c r="AP38" s="59"/>
      <c r="AQ38" s="66"/>
      <c r="AR38" s="66"/>
      <c r="AS38" s="66"/>
      <c r="AT38" s="66" t="str">
        <f>LOOKUP(AT37,AY28:AY31,AZ28:AZ31)</f>
        <v>FUERTES Y DESEQUILIBRADOS</v>
      </c>
      <c r="AU38" s="66"/>
      <c r="AV38" s="66"/>
      <c r="AW38" s="66"/>
      <c r="AX38" s="66"/>
      <c r="AY38" s="66"/>
      <c r="AZ38" s="66"/>
      <c r="BA38" s="66"/>
      <c r="BB38" s="66"/>
      <c r="BC38" s="67"/>
    </row>
    <row r="39" ht="8.25" customHeight="1">
      <c r="A39" s="56"/>
      <c r="B39" s="56"/>
      <c r="C39" s="83"/>
      <c r="D39" s="83"/>
      <c r="E39" s="87"/>
      <c r="F39" s="87"/>
      <c r="G39" s="56"/>
      <c r="H39" s="56"/>
      <c r="I39" s="84"/>
      <c r="J39" s="85"/>
      <c r="K39" s="85"/>
      <c r="L39" s="86"/>
      <c r="M39" s="56"/>
      <c r="N39" s="88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9"/>
      <c r="AP39" s="59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7"/>
    </row>
    <row r="40" ht="7.5" customHeight="1">
      <c r="A40" s="56"/>
      <c r="B40" s="56"/>
      <c r="C40" s="56"/>
      <c r="D40" s="98"/>
      <c r="E40" s="98"/>
      <c r="F40" s="98"/>
      <c r="G40" s="56"/>
      <c r="H40" s="56"/>
      <c r="I40" s="56"/>
      <c r="J40" s="56"/>
      <c r="K40" s="99"/>
      <c r="L40" s="82"/>
      <c r="M40" s="56"/>
      <c r="N40" s="68"/>
      <c r="O40" s="68"/>
      <c r="P40" s="68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9"/>
      <c r="AP40" s="59"/>
      <c r="AQ40" s="66"/>
      <c r="AR40" s="66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67"/>
    </row>
    <row r="41" ht="7.5" customHeight="1">
      <c r="A41" s="56"/>
      <c r="B41" s="56"/>
      <c r="C41" s="56"/>
      <c r="D41" s="98"/>
      <c r="E41" s="98"/>
      <c r="F41" s="98"/>
      <c r="G41" s="56"/>
      <c r="H41" s="56"/>
      <c r="I41" s="56"/>
      <c r="J41" s="56"/>
      <c r="K41" s="99"/>
      <c r="L41" s="82"/>
      <c r="M41" s="56"/>
      <c r="N41" s="68"/>
      <c r="O41" s="68"/>
      <c r="P41" s="68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9"/>
      <c r="AP41" s="59"/>
      <c r="AQ41" s="66"/>
      <c r="AR41" s="66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67"/>
    </row>
    <row r="42" ht="7.5" customHeight="1">
      <c r="A42" s="56"/>
      <c r="B42" s="56"/>
      <c r="C42" s="100" t="s">
        <v>125</v>
      </c>
      <c r="D42" s="80"/>
      <c r="E42" s="80"/>
      <c r="F42" s="81"/>
      <c r="G42" s="56"/>
      <c r="H42" s="56"/>
      <c r="I42" s="56"/>
      <c r="J42" s="56"/>
      <c r="K42" s="56"/>
      <c r="L42" s="56"/>
      <c r="M42" s="56"/>
      <c r="N42" s="68"/>
      <c r="O42" s="68"/>
      <c r="P42" s="68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9"/>
      <c r="AP42" s="59"/>
      <c r="AQ42" s="66"/>
      <c r="AR42" s="66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67"/>
    </row>
    <row r="43" ht="9.0" customHeight="1">
      <c r="A43" s="56"/>
      <c r="B43" s="56"/>
      <c r="C43" s="84"/>
      <c r="D43" s="85"/>
      <c r="E43" s="85"/>
      <c r="F43" s="86"/>
      <c r="G43" s="56"/>
      <c r="H43" s="56"/>
      <c r="I43" s="56"/>
      <c r="J43" s="56"/>
      <c r="K43" s="56"/>
      <c r="L43" s="56"/>
      <c r="M43" s="56"/>
      <c r="N43" s="68"/>
      <c r="O43" s="68"/>
      <c r="P43" s="68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9"/>
      <c r="AP43" s="59"/>
      <c r="AQ43" s="66"/>
      <c r="AR43" s="66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67"/>
    </row>
    <row r="44" ht="20.25" customHeight="1">
      <c r="A44" s="56"/>
      <c r="B44" s="56"/>
      <c r="C44" s="56" t="s">
        <v>126</v>
      </c>
      <c r="D44" s="101">
        <f>E12</f>
        <v>12</v>
      </c>
      <c r="E44" s="102" t="s">
        <v>127</v>
      </c>
      <c r="F44" s="101">
        <f>E13</f>
        <v>10</v>
      </c>
      <c r="G44" s="103" t="str">
        <f>C2</f>
        <v>Nathalie Estigarribia</v>
      </c>
      <c r="H44" s="48"/>
      <c r="I44" s="48"/>
      <c r="J44" s="48"/>
      <c r="K44" s="48"/>
      <c r="L44" s="49"/>
      <c r="M44" s="56" t="s">
        <v>128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98"/>
      <c r="AN44" s="56"/>
      <c r="AO44" s="59"/>
      <c r="AP44" s="59"/>
      <c r="AQ44" s="66"/>
      <c r="AR44" s="66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67"/>
    </row>
    <row r="45" ht="20.25" customHeight="1">
      <c r="A45" s="56"/>
      <c r="B45" s="56"/>
      <c r="C45" s="104" t="str">
        <f>AT36</f>
        <v>TENDIENTE A INESTABLE  ALTAMENTE INTROVERTIDO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105"/>
      <c r="P45" s="106" t="s">
        <v>129</v>
      </c>
      <c r="Q45" s="35"/>
      <c r="R45" s="35"/>
      <c r="S45" s="105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9"/>
      <c r="AP45" s="59"/>
      <c r="AQ45" s="66"/>
      <c r="AR45" s="66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67"/>
    </row>
    <row r="46" ht="20.25" customHeight="1">
      <c r="A46" s="56"/>
      <c r="B46" s="56"/>
      <c r="C46" s="98" t="s">
        <v>130</v>
      </c>
      <c r="D46" s="107" t="str">
        <f>AT37</f>
        <v>MELANCOLICO</v>
      </c>
      <c r="E46" s="98"/>
      <c r="F46" s="98"/>
      <c r="G46" s="98"/>
      <c r="H46" s="56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9"/>
      <c r="AP46" s="59"/>
      <c r="AQ46" s="66"/>
      <c r="AR46" s="66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67"/>
    </row>
    <row r="47" ht="20.25" customHeight="1">
      <c r="A47" s="56"/>
      <c r="B47" s="56"/>
      <c r="C47" s="108" t="s">
        <v>131</v>
      </c>
      <c r="D47" s="109"/>
      <c r="E47" s="109"/>
      <c r="F47" s="109"/>
      <c r="G47" s="109"/>
      <c r="H47" s="109"/>
      <c r="I47" s="109"/>
      <c r="J47" s="110" t="str">
        <f>AT38</f>
        <v>FUERTES Y DESEQUILIBRADOS</v>
      </c>
      <c r="K47" s="35"/>
      <c r="L47" s="35"/>
      <c r="M47" s="35"/>
      <c r="N47" s="35"/>
      <c r="O47" s="35"/>
      <c r="P47" s="35"/>
      <c r="Q47" s="35"/>
      <c r="R47" s="35"/>
      <c r="S47" s="105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9"/>
      <c r="AP47" s="59"/>
      <c r="AQ47" s="66"/>
      <c r="AR47" s="66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67"/>
    </row>
    <row r="48" ht="12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9"/>
      <c r="AP48" s="59"/>
      <c r="AQ48" s="66"/>
      <c r="AR48" s="66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67"/>
    </row>
    <row r="49" ht="12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9"/>
      <c r="AP49" s="59"/>
      <c r="AQ49" s="66"/>
      <c r="AR49" s="66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67"/>
    </row>
    <row r="50" ht="13.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111" t="str">
        <f>G6</f>
        <v>Jaquelin martinez prado</v>
      </c>
      <c r="N50" s="3"/>
      <c r="O50" s="3"/>
      <c r="P50" s="3"/>
      <c r="Q50" s="3"/>
      <c r="R50" s="3"/>
      <c r="S50" s="4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9"/>
      <c r="AP50" s="59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</row>
    <row r="51" ht="12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65" t="s">
        <v>132</v>
      </c>
      <c r="N51" s="3"/>
      <c r="O51" s="3"/>
      <c r="P51" s="3"/>
      <c r="Q51" s="3"/>
      <c r="R51" s="3"/>
      <c r="S51" s="4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9"/>
      <c r="AP51" s="59"/>
      <c r="AQ51" s="66"/>
      <c r="AR51" s="59"/>
      <c r="AS51" s="59"/>
      <c r="AT51" s="59"/>
      <c r="AU51" s="59"/>
      <c r="AV51" s="59"/>
      <c r="AW51" s="59"/>
      <c r="AX51" s="59"/>
      <c r="AY51" s="59"/>
      <c r="AZ51" s="66"/>
      <c r="BA51" s="66"/>
      <c r="BB51" s="66"/>
      <c r="BC51" s="67"/>
    </row>
    <row r="52" ht="12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9"/>
      <c r="AP52" s="59"/>
      <c r="AQ52" s="66"/>
      <c r="AR52" s="59"/>
      <c r="AS52" s="59"/>
      <c r="AT52" s="59"/>
      <c r="AU52" s="59"/>
      <c r="AV52" s="59"/>
      <c r="AW52" s="59"/>
      <c r="AX52" s="59"/>
      <c r="AY52" s="59"/>
      <c r="AZ52" s="66"/>
      <c r="BA52" s="66"/>
      <c r="BB52" s="66"/>
      <c r="BC52" s="67"/>
    </row>
    <row r="53" ht="12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9"/>
      <c r="AP53" s="59"/>
      <c r="AQ53" s="66"/>
      <c r="AR53" s="59"/>
      <c r="AS53" s="59"/>
      <c r="AT53" s="59"/>
      <c r="AU53" s="59"/>
      <c r="AV53" s="59"/>
      <c r="AW53" s="59"/>
      <c r="AX53" s="59"/>
      <c r="AY53" s="59"/>
      <c r="AZ53" s="66"/>
      <c r="BA53" s="66"/>
      <c r="BB53" s="66"/>
      <c r="BC53" s="67"/>
    </row>
    <row r="54" ht="12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9"/>
      <c r="AP54" s="59"/>
      <c r="AQ54" s="66"/>
      <c r="AR54" s="59"/>
      <c r="AS54" s="59"/>
      <c r="AT54" s="59"/>
      <c r="AU54" s="59"/>
      <c r="AV54" s="59"/>
      <c r="AW54" s="59"/>
      <c r="AX54" s="59"/>
      <c r="AY54" s="59"/>
      <c r="AZ54" s="66"/>
      <c r="BA54" s="66"/>
      <c r="BB54" s="66"/>
      <c r="BC54" s="67"/>
    </row>
    <row r="55" ht="12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9"/>
      <c r="AP55" s="59"/>
      <c r="AQ55" s="66"/>
      <c r="AR55" s="59"/>
      <c r="AS55" s="59"/>
      <c r="AT55" s="59"/>
      <c r="AU55" s="59"/>
      <c r="AV55" s="59"/>
      <c r="AW55" s="59"/>
      <c r="AX55" s="59"/>
      <c r="AY55" s="59"/>
      <c r="AZ55" s="66"/>
      <c r="BA55" s="66"/>
      <c r="BB55" s="66"/>
      <c r="BC55" s="67"/>
    </row>
    <row r="56" ht="12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9"/>
      <c r="AP56" s="59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7"/>
    </row>
    <row r="57" ht="12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6"/>
    </row>
    <row r="58" ht="12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6"/>
    </row>
    <row r="59" ht="12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6"/>
    </row>
    <row r="60" ht="12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6"/>
    </row>
    <row r="61" ht="12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6"/>
    </row>
    <row r="62" ht="12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6"/>
    </row>
    <row r="63" ht="12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6"/>
    </row>
    <row r="64" ht="12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6"/>
    </row>
    <row r="65" ht="12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6"/>
    </row>
    <row r="66" ht="12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6"/>
    </row>
    <row r="67" ht="12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6"/>
    </row>
    <row r="68" ht="12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6"/>
    </row>
    <row r="69" ht="12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6"/>
    </row>
    <row r="70" ht="12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6"/>
    </row>
    <row r="71" ht="12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6"/>
    </row>
    <row r="72" ht="12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6"/>
    </row>
    <row r="73" ht="12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6"/>
    </row>
    <row r="74" ht="12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6"/>
    </row>
    <row r="75" ht="12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6"/>
    </row>
    <row r="76" ht="12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6"/>
    </row>
    <row r="77" ht="12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6"/>
    </row>
    <row r="78" ht="12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6"/>
    </row>
    <row r="79" ht="12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6"/>
    </row>
    <row r="80" ht="12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6"/>
    </row>
    <row r="81" ht="12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6"/>
    </row>
    <row r="82" ht="12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6"/>
    </row>
    <row r="83" ht="12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6"/>
    </row>
    <row r="84" ht="12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6"/>
    </row>
    <row r="85" ht="12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6"/>
    </row>
    <row r="86" ht="12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6"/>
    </row>
    <row r="87" ht="12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6"/>
    </row>
    <row r="88" ht="12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6"/>
    </row>
    <row r="89" ht="12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6"/>
    </row>
    <row r="90" ht="12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6"/>
    </row>
    <row r="91" ht="12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6"/>
    </row>
    <row r="92" ht="12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6"/>
    </row>
    <row r="93" ht="12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6"/>
    </row>
    <row r="94" ht="12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6"/>
    </row>
    <row r="95" ht="12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6"/>
    </row>
    <row r="96" ht="12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6"/>
    </row>
    <row r="97" ht="12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6"/>
    </row>
    <row r="98" ht="12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6"/>
    </row>
    <row r="99" ht="12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6"/>
    </row>
    <row r="100" ht="12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6"/>
    </row>
    <row r="101" ht="12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6"/>
    </row>
    <row r="102" ht="12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6"/>
    </row>
    <row r="103" ht="12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6"/>
    </row>
    <row r="104" ht="12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6"/>
    </row>
    <row r="105" ht="12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6"/>
    </row>
    <row r="106" ht="12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6"/>
    </row>
    <row r="107" ht="12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6"/>
    </row>
    <row r="108" ht="12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6"/>
    </row>
    <row r="109" ht="12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6"/>
    </row>
    <row r="110" ht="12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6"/>
    </row>
    <row r="111" ht="12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6"/>
    </row>
    <row r="112" ht="12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6"/>
    </row>
    <row r="113" ht="12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6"/>
    </row>
    <row r="114" ht="12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6"/>
    </row>
    <row r="115" ht="12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6"/>
    </row>
    <row r="116" ht="12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6"/>
    </row>
    <row r="117" ht="12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6"/>
    </row>
    <row r="118" ht="12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6"/>
    </row>
    <row r="119" ht="12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6"/>
    </row>
    <row r="120" ht="12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6"/>
    </row>
    <row r="121" ht="12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6"/>
    </row>
    <row r="122" ht="12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6"/>
    </row>
    <row r="123" ht="12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6"/>
    </row>
    <row r="124" ht="12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6"/>
    </row>
    <row r="125" ht="12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6"/>
    </row>
    <row r="126" ht="12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6"/>
    </row>
    <row r="127" ht="12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6"/>
    </row>
    <row r="128" ht="12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6"/>
    </row>
    <row r="129" ht="12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6"/>
    </row>
    <row r="130" ht="12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6"/>
    </row>
    <row r="131" ht="12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6"/>
    </row>
    <row r="132" ht="12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6"/>
    </row>
    <row r="133" ht="12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6"/>
    </row>
    <row r="134" ht="12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6"/>
    </row>
    <row r="135" ht="12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6"/>
    </row>
    <row r="136" ht="12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6"/>
    </row>
    <row r="137" ht="12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6"/>
    </row>
    <row r="138" ht="12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6"/>
    </row>
    <row r="139" ht="12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6"/>
    </row>
    <row r="140" ht="12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6"/>
    </row>
    <row r="141" ht="12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6"/>
    </row>
    <row r="142" ht="12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6"/>
    </row>
    <row r="143" ht="12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6"/>
    </row>
    <row r="144" ht="12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6"/>
    </row>
    <row r="145" ht="12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6"/>
    </row>
    <row r="146" ht="12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6"/>
    </row>
    <row r="147" ht="12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6"/>
    </row>
    <row r="148" ht="12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6"/>
    </row>
    <row r="149" ht="12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6"/>
    </row>
    <row r="150" ht="12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6"/>
    </row>
    <row r="151" ht="12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6"/>
    </row>
    <row r="152" ht="12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6"/>
    </row>
    <row r="153" ht="12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6"/>
    </row>
    <row r="154" ht="12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6"/>
    </row>
    <row r="155" ht="12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6"/>
    </row>
    <row r="156" ht="12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6"/>
    </row>
    <row r="157" ht="12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6"/>
    </row>
    <row r="158" ht="12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6"/>
    </row>
    <row r="159" ht="12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6"/>
    </row>
    <row r="160" ht="12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6"/>
    </row>
    <row r="161" ht="12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6"/>
    </row>
    <row r="162" ht="12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6"/>
    </row>
    <row r="163" ht="12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6"/>
    </row>
    <row r="164" ht="12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6"/>
    </row>
    <row r="165" ht="12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6"/>
    </row>
    <row r="166" ht="12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6"/>
    </row>
    <row r="167" ht="12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6"/>
    </row>
    <row r="168" ht="12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6"/>
    </row>
    <row r="169" ht="12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6"/>
    </row>
    <row r="170" ht="12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6"/>
    </row>
    <row r="171" ht="12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6"/>
    </row>
    <row r="172" ht="12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6"/>
    </row>
    <row r="173" ht="12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6"/>
    </row>
    <row r="174" ht="12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6"/>
    </row>
    <row r="175" ht="12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6"/>
    </row>
    <row r="176" ht="12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6"/>
    </row>
    <row r="177" ht="12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6"/>
    </row>
    <row r="178" ht="12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6"/>
    </row>
    <row r="179" ht="12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6"/>
    </row>
    <row r="180" ht="12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6"/>
    </row>
    <row r="181" ht="12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6"/>
    </row>
    <row r="182" ht="12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6"/>
    </row>
    <row r="183" ht="12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6"/>
    </row>
    <row r="184" ht="12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6"/>
    </row>
    <row r="185" ht="12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6"/>
    </row>
    <row r="186" ht="12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6"/>
    </row>
    <row r="187" ht="12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6"/>
    </row>
    <row r="188" ht="12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6"/>
    </row>
    <row r="189" ht="12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6"/>
    </row>
    <row r="190" ht="12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6"/>
    </row>
    <row r="191" ht="12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6"/>
    </row>
    <row r="192" ht="12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6"/>
    </row>
    <row r="193" ht="12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6"/>
    </row>
    <row r="194" ht="12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6"/>
    </row>
    <row r="195" ht="12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6"/>
    </row>
    <row r="196" ht="12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6"/>
    </row>
    <row r="197" ht="12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6"/>
    </row>
    <row r="198" ht="12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6"/>
    </row>
    <row r="199" ht="12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6"/>
    </row>
    <row r="200" ht="12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6"/>
    </row>
    <row r="201" ht="12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6"/>
    </row>
    <row r="202" ht="12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6"/>
    </row>
    <row r="203" ht="12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6"/>
    </row>
    <row r="204" ht="12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6"/>
    </row>
    <row r="205" ht="12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6"/>
    </row>
    <row r="206" ht="12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6"/>
    </row>
    <row r="207" ht="12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6"/>
    </row>
    <row r="208" ht="12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6"/>
    </row>
    <row r="209" ht="12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6"/>
    </row>
    <row r="210" ht="12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6"/>
    </row>
    <row r="211" ht="12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6"/>
    </row>
    <row r="212" ht="12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6"/>
    </row>
    <row r="213" ht="12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6"/>
    </row>
    <row r="214" ht="12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6"/>
    </row>
    <row r="215" ht="12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6"/>
    </row>
    <row r="216" ht="12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6"/>
    </row>
    <row r="217" ht="12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6"/>
    </row>
    <row r="218" ht="12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6"/>
    </row>
    <row r="219" ht="12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6"/>
    </row>
    <row r="220" ht="12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6"/>
    </row>
    <row r="221" ht="12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6"/>
    </row>
    <row r="222" ht="12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6"/>
    </row>
    <row r="223" ht="12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6"/>
    </row>
    <row r="224" ht="12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6"/>
    </row>
    <row r="225" ht="12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6"/>
    </row>
    <row r="226" ht="12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6"/>
    </row>
    <row r="227" ht="12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6"/>
    </row>
    <row r="228" ht="12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6"/>
    </row>
    <row r="229" ht="12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6"/>
    </row>
    <row r="230" ht="12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6"/>
    </row>
    <row r="231" ht="12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6"/>
    </row>
    <row r="232" ht="12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6"/>
    </row>
    <row r="233" ht="12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6"/>
    </row>
    <row r="234" ht="12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6"/>
    </row>
    <row r="235" ht="12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6"/>
    </row>
    <row r="236" ht="12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6"/>
    </row>
    <row r="237" ht="12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6"/>
    </row>
    <row r="238" ht="12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6"/>
    </row>
    <row r="239" ht="12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6"/>
    </row>
    <row r="240" ht="12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6"/>
    </row>
    <row r="241" ht="12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6"/>
    </row>
    <row r="242" ht="12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6"/>
    </row>
    <row r="243" ht="12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6"/>
    </row>
    <row r="244" ht="12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6"/>
    </row>
    <row r="245" ht="12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6"/>
    </row>
    <row r="246" ht="12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6"/>
    </row>
    <row r="247" ht="12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6"/>
    </row>
    <row r="248" ht="12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6"/>
    </row>
    <row r="249" ht="12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6"/>
    </row>
    <row r="250" ht="12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6"/>
    </row>
    <row r="251" ht="12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6"/>
    </row>
    <row r="252" ht="12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6"/>
    </row>
    <row r="253" ht="12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6"/>
    </row>
    <row r="254" ht="12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6"/>
    </row>
    <row r="255" ht="12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6"/>
    </row>
    <row r="256" ht="12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6"/>
    </row>
    <row r="257" ht="12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6"/>
    </row>
    <row r="258" ht="12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6"/>
    </row>
    <row r="259" ht="12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6"/>
    </row>
    <row r="260" ht="12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6"/>
    </row>
    <row r="261" ht="12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6"/>
    </row>
    <row r="262" ht="12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6"/>
    </row>
    <row r="263" ht="12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6"/>
    </row>
    <row r="264" ht="12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6"/>
    </row>
    <row r="265" ht="12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6"/>
    </row>
    <row r="266" ht="12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6"/>
    </row>
    <row r="267" ht="12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6"/>
    </row>
    <row r="268" ht="12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6"/>
    </row>
    <row r="269" ht="12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6"/>
    </row>
    <row r="270" ht="12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6"/>
    </row>
    <row r="271" ht="12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6"/>
    </row>
    <row r="272" ht="12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6"/>
    </row>
    <row r="273" ht="12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6"/>
    </row>
    <row r="274" ht="12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6"/>
    </row>
    <row r="275" ht="12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6"/>
    </row>
    <row r="276" ht="12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6"/>
    </row>
    <row r="277" ht="12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6"/>
    </row>
    <row r="278" ht="12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6"/>
    </row>
    <row r="279" ht="12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6"/>
    </row>
    <row r="280" ht="12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6"/>
    </row>
    <row r="281" ht="12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6"/>
    </row>
    <row r="282" ht="12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6"/>
    </row>
    <row r="283" ht="12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6"/>
    </row>
    <row r="284" ht="12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6"/>
    </row>
    <row r="285" ht="12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6"/>
    </row>
    <row r="286" ht="12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6"/>
    </row>
    <row r="287" ht="12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6"/>
    </row>
    <row r="288" ht="12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6"/>
    </row>
    <row r="289" ht="12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6"/>
    </row>
    <row r="290" ht="12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6"/>
    </row>
    <row r="291" ht="12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6"/>
    </row>
    <row r="292" ht="12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6"/>
    </row>
    <row r="293" ht="12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6"/>
    </row>
    <row r="294" ht="12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6"/>
    </row>
    <row r="295" ht="12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6"/>
    </row>
    <row r="296" ht="12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6"/>
    </row>
    <row r="297" ht="12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6"/>
    </row>
    <row r="298" ht="12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6"/>
    </row>
    <row r="299" ht="12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6"/>
    </row>
    <row r="300" ht="12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6"/>
    </row>
    <row r="301" ht="12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6"/>
    </row>
    <row r="302" ht="12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6"/>
    </row>
    <row r="303" ht="12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6"/>
    </row>
    <row r="304" ht="12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6"/>
    </row>
    <row r="305" ht="12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6"/>
    </row>
    <row r="306" ht="12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6"/>
    </row>
    <row r="307" ht="12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6"/>
    </row>
    <row r="308" ht="12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6"/>
    </row>
    <row r="309" ht="12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6"/>
    </row>
    <row r="310" ht="12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6"/>
    </row>
    <row r="311" ht="12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6"/>
    </row>
    <row r="312" ht="12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6"/>
    </row>
    <row r="313" ht="12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6"/>
    </row>
    <row r="314" ht="12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6"/>
    </row>
    <row r="315" ht="12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6"/>
    </row>
    <row r="316" ht="12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6"/>
    </row>
    <row r="317" ht="12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6"/>
    </row>
    <row r="318" ht="12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6"/>
    </row>
    <row r="319" ht="12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6"/>
    </row>
    <row r="320" ht="12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6"/>
    </row>
    <row r="321" ht="12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6"/>
    </row>
    <row r="322" ht="12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6"/>
    </row>
    <row r="323" ht="12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6"/>
    </row>
    <row r="324" ht="12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6"/>
    </row>
    <row r="325" ht="12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6"/>
    </row>
    <row r="326" ht="12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6"/>
    </row>
    <row r="327" ht="12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6"/>
    </row>
    <row r="328" ht="12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6"/>
    </row>
    <row r="329" ht="12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6"/>
    </row>
    <row r="330" ht="12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6"/>
    </row>
    <row r="331" ht="12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6"/>
    </row>
    <row r="332" ht="12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6"/>
    </row>
    <row r="333" ht="12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6"/>
    </row>
    <row r="334" ht="12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6"/>
    </row>
    <row r="335" ht="12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6"/>
    </row>
    <row r="336" ht="12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6"/>
    </row>
    <row r="337" ht="12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6"/>
    </row>
    <row r="338" ht="12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6"/>
    </row>
    <row r="339" ht="12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6"/>
    </row>
    <row r="340" ht="12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6"/>
    </row>
    <row r="341" ht="12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6"/>
    </row>
    <row r="342" ht="12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6"/>
    </row>
    <row r="343" ht="12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6"/>
    </row>
    <row r="344" ht="12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6"/>
    </row>
    <row r="345" ht="12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6"/>
    </row>
    <row r="346" ht="12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6"/>
    </row>
    <row r="347" ht="12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6"/>
    </row>
    <row r="348" ht="12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6"/>
    </row>
    <row r="349" ht="12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6"/>
    </row>
    <row r="350" ht="12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6"/>
    </row>
    <row r="351" ht="12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6"/>
    </row>
    <row r="352" ht="12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6"/>
    </row>
    <row r="353" ht="12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6"/>
    </row>
    <row r="354" ht="12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6"/>
    </row>
    <row r="355" ht="12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6"/>
    </row>
    <row r="356" ht="12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6"/>
    </row>
    <row r="357" ht="12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6"/>
    </row>
    <row r="358" ht="12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6"/>
    </row>
    <row r="359" ht="12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6"/>
    </row>
    <row r="360" ht="12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6"/>
    </row>
    <row r="361" ht="12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6"/>
    </row>
    <row r="362" ht="12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6"/>
    </row>
    <row r="363" ht="12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6"/>
    </row>
    <row r="364" ht="12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6"/>
    </row>
    <row r="365" ht="12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6"/>
    </row>
    <row r="366" ht="12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6"/>
    </row>
    <row r="367" ht="12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6"/>
    </row>
    <row r="368" ht="12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6"/>
    </row>
    <row r="369" ht="12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6"/>
    </row>
    <row r="370" ht="12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6"/>
    </row>
    <row r="371" ht="12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6"/>
    </row>
    <row r="372" ht="12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6"/>
    </row>
    <row r="373" ht="12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6"/>
    </row>
    <row r="374" ht="12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6"/>
    </row>
    <row r="375" ht="12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6"/>
    </row>
    <row r="376" ht="12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6"/>
    </row>
    <row r="377" ht="12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6"/>
    </row>
    <row r="378" ht="12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6"/>
    </row>
    <row r="379" ht="12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6"/>
    </row>
    <row r="380" ht="12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6"/>
    </row>
    <row r="381" ht="12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6"/>
    </row>
    <row r="382" ht="12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6"/>
    </row>
    <row r="383" ht="12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6"/>
    </row>
    <row r="384" ht="12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6"/>
    </row>
    <row r="385" ht="12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6"/>
    </row>
    <row r="386" ht="12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6"/>
    </row>
    <row r="387" ht="12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6"/>
    </row>
    <row r="388" ht="12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6"/>
    </row>
    <row r="389" ht="12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6"/>
    </row>
    <row r="390" ht="12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6"/>
    </row>
    <row r="391" ht="12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6"/>
    </row>
    <row r="392" ht="12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6"/>
    </row>
    <row r="393" ht="12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6"/>
    </row>
    <row r="394" ht="12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6"/>
    </row>
    <row r="395" ht="12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6"/>
    </row>
    <row r="396" ht="12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6"/>
    </row>
    <row r="397" ht="12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6"/>
    </row>
    <row r="398" ht="12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6"/>
    </row>
    <row r="399" ht="12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6"/>
    </row>
    <row r="400" ht="12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6"/>
    </row>
    <row r="401" ht="12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6"/>
    </row>
    <row r="402" ht="12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6"/>
    </row>
    <row r="403" ht="12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6"/>
    </row>
    <row r="404" ht="12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6"/>
    </row>
    <row r="405" ht="12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6"/>
    </row>
    <row r="406" ht="12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6"/>
    </row>
    <row r="407" ht="12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6"/>
    </row>
    <row r="408" ht="12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6"/>
    </row>
    <row r="409" ht="12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6"/>
    </row>
    <row r="410" ht="12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6"/>
    </row>
    <row r="411" ht="12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6"/>
    </row>
    <row r="412" ht="12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6"/>
    </row>
    <row r="413" ht="12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6"/>
    </row>
    <row r="414" ht="12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6"/>
    </row>
    <row r="415" ht="12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6"/>
    </row>
    <row r="416" ht="12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6"/>
    </row>
    <row r="417" ht="12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6"/>
    </row>
    <row r="418" ht="12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6"/>
    </row>
    <row r="419" ht="12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6"/>
    </row>
    <row r="420" ht="12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6"/>
    </row>
    <row r="421" ht="12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6"/>
    </row>
    <row r="422" ht="12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6"/>
    </row>
    <row r="423" ht="12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6"/>
    </row>
    <row r="424" ht="12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6"/>
    </row>
    <row r="425" ht="12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6"/>
    </row>
    <row r="426" ht="12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6"/>
    </row>
    <row r="427" ht="12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6"/>
    </row>
    <row r="428" ht="12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6"/>
    </row>
    <row r="429" ht="12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6"/>
    </row>
    <row r="430" ht="12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6"/>
    </row>
    <row r="431" ht="12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6"/>
    </row>
    <row r="432" ht="12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6"/>
    </row>
    <row r="433" ht="12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6"/>
    </row>
    <row r="434" ht="12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6"/>
    </row>
    <row r="435" ht="12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6"/>
    </row>
    <row r="436" ht="12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6"/>
    </row>
    <row r="437" ht="12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6"/>
    </row>
    <row r="438" ht="12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6"/>
    </row>
    <row r="439" ht="12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6"/>
    </row>
    <row r="440" ht="12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6"/>
    </row>
    <row r="441" ht="12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6"/>
    </row>
    <row r="442" ht="12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6"/>
    </row>
    <row r="443" ht="12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6"/>
    </row>
    <row r="444" ht="12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6"/>
    </row>
    <row r="445" ht="12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6"/>
    </row>
    <row r="446" ht="12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6"/>
    </row>
    <row r="447" ht="12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6"/>
    </row>
    <row r="448" ht="12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6"/>
    </row>
    <row r="449" ht="12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6"/>
    </row>
    <row r="450" ht="12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6"/>
    </row>
    <row r="451" ht="12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6"/>
    </row>
    <row r="452" ht="12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6"/>
    </row>
    <row r="453" ht="12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6"/>
    </row>
    <row r="454" ht="12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6"/>
    </row>
    <row r="455" ht="12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6"/>
    </row>
    <row r="456" ht="12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6"/>
    </row>
    <row r="457" ht="12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6"/>
    </row>
    <row r="458" ht="12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6"/>
    </row>
    <row r="459" ht="12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6"/>
    </row>
    <row r="460" ht="12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6"/>
    </row>
    <row r="461" ht="12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6"/>
    </row>
    <row r="462" ht="12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6"/>
    </row>
    <row r="463" ht="12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6"/>
    </row>
    <row r="464" ht="12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6"/>
    </row>
    <row r="465" ht="12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6"/>
    </row>
    <row r="466" ht="12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6"/>
    </row>
    <row r="467" ht="12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6"/>
    </row>
    <row r="468" ht="12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6"/>
    </row>
    <row r="469" ht="12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6"/>
    </row>
    <row r="470" ht="12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6"/>
    </row>
    <row r="471" ht="12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6"/>
    </row>
    <row r="472" ht="12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6"/>
    </row>
    <row r="473" ht="12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6"/>
    </row>
    <row r="474" ht="12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6"/>
    </row>
    <row r="475" ht="12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6"/>
    </row>
    <row r="476" ht="12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6"/>
    </row>
    <row r="477" ht="12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6"/>
    </row>
    <row r="478" ht="12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6"/>
    </row>
    <row r="479" ht="12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6"/>
    </row>
    <row r="480" ht="12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6"/>
    </row>
    <row r="481" ht="12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6"/>
    </row>
    <row r="482" ht="12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6"/>
    </row>
    <row r="483" ht="12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6"/>
    </row>
    <row r="484" ht="12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6"/>
    </row>
    <row r="485" ht="12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6"/>
    </row>
    <row r="486" ht="12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6"/>
    </row>
    <row r="487" ht="12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6"/>
    </row>
    <row r="488" ht="12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6"/>
    </row>
    <row r="489" ht="12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6"/>
    </row>
    <row r="490" ht="12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6"/>
    </row>
    <row r="491" ht="12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6"/>
    </row>
    <row r="492" ht="12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6"/>
    </row>
    <row r="493" ht="12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6"/>
    </row>
    <row r="494" ht="12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6"/>
    </row>
    <row r="495" ht="12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6"/>
    </row>
    <row r="496" ht="12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6"/>
    </row>
    <row r="497" ht="12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6"/>
    </row>
    <row r="498" ht="12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6"/>
    </row>
    <row r="499" ht="12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6"/>
    </row>
    <row r="500" ht="12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6"/>
    </row>
    <row r="501" ht="12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6"/>
    </row>
    <row r="502" ht="12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6"/>
    </row>
    <row r="503" ht="12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6"/>
    </row>
    <row r="504" ht="12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6"/>
    </row>
    <row r="505" ht="12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6"/>
    </row>
    <row r="506" ht="12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6"/>
    </row>
    <row r="507" ht="12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6"/>
    </row>
    <row r="508" ht="12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6"/>
    </row>
    <row r="509" ht="12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6"/>
    </row>
    <row r="510" ht="12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6"/>
    </row>
    <row r="511" ht="12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6"/>
    </row>
    <row r="512" ht="12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6"/>
    </row>
    <row r="513" ht="12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6"/>
    </row>
    <row r="514" ht="12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6"/>
    </row>
    <row r="515" ht="12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6"/>
    </row>
    <row r="516" ht="12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6"/>
    </row>
    <row r="517" ht="12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6"/>
    </row>
    <row r="518" ht="12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6"/>
    </row>
    <row r="519" ht="12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6"/>
    </row>
    <row r="520" ht="12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6"/>
    </row>
    <row r="521" ht="12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6"/>
    </row>
    <row r="522" ht="12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6"/>
    </row>
    <row r="523" ht="12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6"/>
    </row>
    <row r="524" ht="12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6"/>
    </row>
    <row r="525" ht="12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6"/>
    </row>
    <row r="526" ht="12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6"/>
    </row>
    <row r="527" ht="12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6"/>
    </row>
    <row r="528" ht="12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6"/>
    </row>
    <row r="529" ht="12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6"/>
    </row>
    <row r="530" ht="12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6"/>
    </row>
    <row r="531" ht="12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6"/>
    </row>
    <row r="532" ht="12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6"/>
    </row>
    <row r="533" ht="12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6"/>
    </row>
    <row r="534" ht="12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6"/>
    </row>
    <row r="535" ht="12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6"/>
    </row>
    <row r="536" ht="12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6"/>
    </row>
    <row r="537" ht="12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6"/>
    </row>
    <row r="538" ht="12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6"/>
    </row>
    <row r="539" ht="12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6"/>
    </row>
    <row r="540" ht="12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6"/>
    </row>
    <row r="541" ht="12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6"/>
    </row>
    <row r="542" ht="12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6"/>
    </row>
    <row r="543" ht="12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6"/>
    </row>
    <row r="544" ht="12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6"/>
    </row>
    <row r="545" ht="12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6"/>
    </row>
    <row r="546" ht="12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6"/>
    </row>
    <row r="547" ht="12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6"/>
    </row>
    <row r="548" ht="12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6"/>
    </row>
    <row r="549" ht="12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6"/>
    </row>
    <row r="550" ht="12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6"/>
    </row>
    <row r="551" ht="12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6"/>
    </row>
    <row r="552" ht="12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6"/>
    </row>
    <row r="553" ht="12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6"/>
    </row>
    <row r="554" ht="12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6"/>
    </row>
    <row r="555" ht="12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6"/>
    </row>
    <row r="556" ht="12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6"/>
    </row>
    <row r="557" ht="12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6"/>
    </row>
    <row r="558" ht="12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6"/>
    </row>
    <row r="559" ht="12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6"/>
    </row>
    <row r="560" ht="12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6"/>
    </row>
    <row r="561" ht="12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6"/>
    </row>
    <row r="562" ht="12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6"/>
    </row>
    <row r="563" ht="12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6"/>
    </row>
    <row r="564" ht="12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6"/>
    </row>
    <row r="565" ht="12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6"/>
    </row>
    <row r="566" ht="12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6"/>
    </row>
    <row r="567" ht="12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6"/>
    </row>
    <row r="568" ht="12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6"/>
    </row>
    <row r="569" ht="12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6"/>
    </row>
    <row r="570" ht="12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6"/>
    </row>
    <row r="571" ht="12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6"/>
    </row>
    <row r="572" ht="12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6"/>
    </row>
    <row r="573" ht="12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6"/>
    </row>
    <row r="574" ht="12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6"/>
    </row>
    <row r="575" ht="12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6"/>
    </row>
    <row r="576" ht="12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6"/>
    </row>
    <row r="577" ht="12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6"/>
    </row>
    <row r="578" ht="12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6"/>
    </row>
    <row r="579" ht="12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6"/>
    </row>
    <row r="580" ht="12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6"/>
    </row>
    <row r="581" ht="12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6"/>
    </row>
    <row r="582" ht="12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6"/>
    </row>
    <row r="583" ht="12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6"/>
    </row>
    <row r="584" ht="12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6"/>
    </row>
    <row r="585" ht="12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6"/>
    </row>
    <row r="586" ht="12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6"/>
    </row>
    <row r="587" ht="12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6"/>
    </row>
    <row r="588" ht="12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6"/>
    </row>
    <row r="589" ht="12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6"/>
    </row>
    <row r="590" ht="12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6"/>
    </row>
    <row r="591" ht="12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6"/>
    </row>
    <row r="592" ht="12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6"/>
    </row>
    <row r="593" ht="12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6"/>
    </row>
    <row r="594" ht="12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6"/>
    </row>
    <row r="595" ht="12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6"/>
    </row>
    <row r="596" ht="12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6"/>
    </row>
    <row r="597" ht="12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6"/>
    </row>
    <row r="598" ht="12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6"/>
    </row>
    <row r="599" ht="12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6"/>
    </row>
    <row r="600" ht="12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6"/>
    </row>
    <row r="601" ht="12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6"/>
    </row>
    <row r="602" ht="12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6"/>
    </row>
    <row r="603" ht="12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6"/>
    </row>
    <row r="604" ht="12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6"/>
    </row>
    <row r="605" ht="12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6"/>
    </row>
    <row r="606" ht="12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6"/>
    </row>
    <row r="607" ht="12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6"/>
    </row>
    <row r="608" ht="12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6"/>
    </row>
    <row r="609" ht="12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6"/>
    </row>
    <row r="610" ht="12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6"/>
    </row>
    <row r="611" ht="12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6"/>
    </row>
    <row r="612" ht="12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6"/>
    </row>
    <row r="613" ht="12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6"/>
    </row>
    <row r="614" ht="12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6"/>
    </row>
    <row r="615" ht="12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6"/>
    </row>
    <row r="616" ht="12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6"/>
    </row>
    <row r="617" ht="12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6"/>
    </row>
    <row r="618" ht="12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6"/>
    </row>
    <row r="619" ht="12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6"/>
    </row>
    <row r="620" ht="12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6"/>
    </row>
    <row r="621" ht="12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6"/>
    </row>
    <row r="622" ht="12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6"/>
    </row>
    <row r="623" ht="12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6"/>
    </row>
    <row r="624" ht="12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6"/>
    </row>
    <row r="625" ht="12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6"/>
    </row>
    <row r="626" ht="12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6"/>
    </row>
    <row r="627" ht="12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6"/>
    </row>
    <row r="628" ht="12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6"/>
    </row>
    <row r="629" ht="12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6"/>
    </row>
    <row r="630" ht="12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6"/>
    </row>
    <row r="631" ht="12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6"/>
    </row>
    <row r="632" ht="12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6"/>
    </row>
    <row r="633" ht="12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6"/>
    </row>
    <row r="634" ht="12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6"/>
    </row>
    <row r="635" ht="12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6"/>
    </row>
    <row r="636" ht="12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6"/>
    </row>
    <row r="637" ht="12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6"/>
    </row>
    <row r="638" ht="12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6"/>
    </row>
    <row r="639" ht="12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6"/>
    </row>
    <row r="640" ht="12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6"/>
    </row>
    <row r="641" ht="12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6"/>
    </row>
    <row r="642" ht="12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6"/>
    </row>
    <row r="643" ht="12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6"/>
    </row>
    <row r="644" ht="12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6"/>
    </row>
    <row r="645" ht="12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6"/>
    </row>
    <row r="646" ht="12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6"/>
    </row>
    <row r="647" ht="12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6"/>
    </row>
    <row r="648" ht="12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6"/>
    </row>
    <row r="649" ht="12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6"/>
    </row>
    <row r="650" ht="12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6"/>
    </row>
    <row r="651" ht="12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6"/>
    </row>
    <row r="652" ht="12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6"/>
    </row>
    <row r="653" ht="12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6"/>
    </row>
    <row r="654" ht="12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6"/>
    </row>
    <row r="655" ht="12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6"/>
    </row>
    <row r="656" ht="12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6"/>
    </row>
    <row r="657" ht="12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6"/>
    </row>
    <row r="658" ht="12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6"/>
    </row>
    <row r="659" ht="12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6"/>
    </row>
    <row r="660" ht="12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6"/>
    </row>
    <row r="661" ht="12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6"/>
    </row>
    <row r="662" ht="12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6"/>
    </row>
    <row r="663" ht="12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6"/>
    </row>
    <row r="664" ht="12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6"/>
    </row>
    <row r="665" ht="12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6"/>
    </row>
    <row r="666" ht="12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6"/>
    </row>
    <row r="667" ht="12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6"/>
    </row>
    <row r="668" ht="12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6"/>
    </row>
    <row r="669" ht="12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6"/>
    </row>
    <row r="670" ht="12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6"/>
    </row>
    <row r="671" ht="12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6"/>
    </row>
    <row r="672" ht="12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6"/>
    </row>
    <row r="673" ht="12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6"/>
    </row>
    <row r="674" ht="12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6"/>
    </row>
    <row r="675" ht="12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6"/>
    </row>
    <row r="676" ht="12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6"/>
    </row>
    <row r="677" ht="12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6"/>
    </row>
    <row r="678" ht="12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6"/>
    </row>
    <row r="679" ht="12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6"/>
    </row>
    <row r="680" ht="12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6"/>
    </row>
    <row r="681" ht="12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6"/>
    </row>
    <row r="682" ht="12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6"/>
    </row>
    <row r="683" ht="12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6"/>
    </row>
    <row r="684" ht="12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6"/>
    </row>
    <row r="685" ht="12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6"/>
    </row>
    <row r="686" ht="12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6"/>
    </row>
    <row r="687" ht="12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6"/>
    </row>
    <row r="688" ht="12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6"/>
    </row>
    <row r="689" ht="12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6"/>
    </row>
    <row r="690" ht="12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6"/>
    </row>
    <row r="691" ht="12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6"/>
    </row>
    <row r="692" ht="12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6"/>
    </row>
    <row r="693" ht="12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6"/>
    </row>
    <row r="694" ht="12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6"/>
    </row>
    <row r="695" ht="12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6"/>
    </row>
    <row r="696" ht="12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6"/>
    </row>
    <row r="697" ht="12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6"/>
    </row>
    <row r="698" ht="12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6"/>
    </row>
    <row r="699" ht="12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6"/>
    </row>
    <row r="700" ht="12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6"/>
    </row>
    <row r="701" ht="12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6"/>
    </row>
    <row r="702" ht="12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6"/>
    </row>
    <row r="703" ht="12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6"/>
    </row>
    <row r="704" ht="12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6"/>
    </row>
    <row r="705" ht="12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6"/>
    </row>
    <row r="706" ht="12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6"/>
    </row>
    <row r="707" ht="12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6"/>
    </row>
    <row r="708" ht="12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6"/>
    </row>
    <row r="709" ht="12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6"/>
    </row>
    <row r="710" ht="12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6"/>
    </row>
    <row r="711" ht="12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6"/>
    </row>
    <row r="712" ht="12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6"/>
    </row>
    <row r="713" ht="12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6"/>
    </row>
    <row r="714" ht="12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6"/>
    </row>
    <row r="715" ht="12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6"/>
    </row>
    <row r="716" ht="12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6"/>
    </row>
    <row r="717" ht="12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6"/>
    </row>
    <row r="718" ht="12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6"/>
    </row>
    <row r="719" ht="12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6"/>
    </row>
    <row r="720" ht="12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6"/>
    </row>
    <row r="721" ht="12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6"/>
    </row>
    <row r="722" ht="12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6"/>
    </row>
    <row r="723" ht="12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6"/>
    </row>
    <row r="724" ht="12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6"/>
    </row>
    <row r="725" ht="12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6"/>
    </row>
    <row r="726" ht="12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6"/>
    </row>
    <row r="727" ht="12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6"/>
    </row>
    <row r="728" ht="12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6"/>
    </row>
    <row r="729" ht="12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6"/>
    </row>
    <row r="730" ht="12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6"/>
    </row>
    <row r="731" ht="12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6"/>
    </row>
    <row r="732" ht="12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6"/>
    </row>
    <row r="733" ht="12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6"/>
    </row>
    <row r="734" ht="12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6"/>
    </row>
    <row r="735" ht="12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6"/>
    </row>
    <row r="736" ht="12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6"/>
    </row>
    <row r="737" ht="12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6"/>
    </row>
    <row r="738" ht="12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6"/>
    </row>
    <row r="739" ht="12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6"/>
    </row>
    <row r="740" ht="12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6"/>
    </row>
    <row r="741" ht="12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6"/>
    </row>
    <row r="742" ht="12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6"/>
    </row>
    <row r="743" ht="12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6"/>
    </row>
    <row r="744" ht="12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6"/>
    </row>
    <row r="745" ht="12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6"/>
    </row>
    <row r="746" ht="12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6"/>
    </row>
    <row r="747" ht="12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6"/>
    </row>
    <row r="748" ht="12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6"/>
    </row>
    <row r="749" ht="12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6"/>
    </row>
    <row r="750" ht="12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6"/>
    </row>
    <row r="751" ht="12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6"/>
    </row>
    <row r="752" ht="12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6"/>
    </row>
    <row r="753" ht="12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6"/>
    </row>
    <row r="754" ht="12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6"/>
    </row>
    <row r="755" ht="12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6"/>
    </row>
    <row r="756" ht="12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6"/>
    </row>
    <row r="757" ht="12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6"/>
    </row>
    <row r="758" ht="12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6"/>
    </row>
    <row r="759" ht="12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6"/>
    </row>
    <row r="760" ht="12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6"/>
    </row>
    <row r="761" ht="12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6"/>
    </row>
    <row r="762" ht="12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6"/>
    </row>
    <row r="763" ht="12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6"/>
    </row>
    <row r="764" ht="12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6"/>
    </row>
    <row r="765" ht="12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6"/>
    </row>
    <row r="766" ht="12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6"/>
    </row>
    <row r="767" ht="12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6"/>
    </row>
    <row r="768" ht="12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6"/>
    </row>
    <row r="769" ht="12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6"/>
    </row>
    <row r="770" ht="12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6"/>
    </row>
    <row r="771" ht="12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6"/>
    </row>
    <row r="772" ht="12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6"/>
    </row>
    <row r="773" ht="12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6"/>
    </row>
    <row r="774" ht="12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6"/>
    </row>
    <row r="775" ht="12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6"/>
    </row>
    <row r="776" ht="12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6"/>
    </row>
    <row r="777" ht="12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6"/>
    </row>
    <row r="778" ht="12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6"/>
    </row>
    <row r="779" ht="12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6"/>
    </row>
    <row r="780" ht="12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6"/>
    </row>
    <row r="781" ht="12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6"/>
    </row>
    <row r="782" ht="12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6"/>
    </row>
    <row r="783" ht="12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6"/>
    </row>
    <row r="784" ht="12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6"/>
    </row>
    <row r="785" ht="12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6"/>
    </row>
    <row r="786" ht="12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6"/>
    </row>
    <row r="787" ht="12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6"/>
    </row>
    <row r="788" ht="12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6"/>
    </row>
    <row r="789" ht="12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6"/>
    </row>
    <row r="790" ht="12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6"/>
    </row>
    <row r="791" ht="12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6"/>
    </row>
    <row r="792" ht="12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6"/>
    </row>
    <row r="793" ht="12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6"/>
    </row>
    <row r="794" ht="12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6"/>
    </row>
    <row r="795" ht="12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6"/>
    </row>
    <row r="796" ht="12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6"/>
    </row>
    <row r="797" ht="12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6"/>
    </row>
    <row r="798" ht="12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6"/>
    </row>
    <row r="799" ht="12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6"/>
    </row>
    <row r="800" ht="12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6"/>
    </row>
    <row r="801" ht="12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6"/>
    </row>
    <row r="802" ht="12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6"/>
    </row>
    <row r="803" ht="12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6"/>
    </row>
    <row r="804" ht="12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6"/>
    </row>
    <row r="805" ht="12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6"/>
    </row>
    <row r="806" ht="12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6"/>
    </row>
    <row r="807" ht="12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6"/>
    </row>
    <row r="808" ht="12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6"/>
    </row>
    <row r="809" ht="12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6"/>
    </row>
    <row r="810" ht="12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6"/>
    </row>
    <row r="811" ht="12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6"/>
    </row>
    <row r="812" ht="12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6"/>
    </row>
    <row r="813" ht="12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6"/>
    </row>
    <row r="814" ht="12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6"/>
    </row>
    <row r="815" ht="12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6"/>
    </row>
    <row r="816" ht="12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6"/>
    </row>
    <row r="817" ht="12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6"/>
    </row>
    <row r="818" ht="12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6"/>
    </row>
    <row r="819" ht="12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6"/>
    </row>
    <row r="820" ht="12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6"/>
    </row>
    <row r="821" ht="12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6"/>
    </row>
    <row r="822" ht="12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6"/>
    </row>
    <row r="823" ht="12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6"/>
    </row>
    <row r="824" ht="12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6"/>
    </row>
    <row r="825" ht="12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6"/>
    </row>
    <row r="826" ht="12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6"/>
    </row>
    <row r="827" ht="12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6"/>
    </row>
    <row r="828" ht="12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6"/>
    </row>
    <row r="829" ht="12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6"/>
    </row>
    <row r="830" ht="12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6"/>
    </row>
    <row r="831" ht="12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6"/>
    </row>
    <row r="832" ht="12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6"/>
    </row>
    <row r="833" ht="12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6"/>
    </row>
    <row r="834" ht="12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6"/>
    </row>
    <row r="835" ht="12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6"/>
    </row>
    <row r="836" ht="12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6"/>
    </row>
    <row r="837" ht="12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6"/>
    </row>
    <row r="838" ht="12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6"/>
    </row>
    <row r="839" ht="12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6"/>
    </row>
    <row r="840" ht="12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6"/>
    </row>
    <row r="841" ht="12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6"/>
    </row>
    <row r="842" ht="12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6"/>
    </row>
    <row r="843" ht="12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6"/>
    </row>
    <row r="844" ht="12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6"/>
    </row>
    <row r="845" ht="12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6"/>
    </row>
    <row r="846" ht="12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6"/>
    </row>
    <row r="847" ht="12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6"/>
    </row>
    <row r="848" ht="12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6"/>
    </row>
    <row r="849" ht="12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6"/>
    </row>
    <row r="850" ht="12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6"/>
    </row>
    <row r="851" ht="12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6"/>
    </row>
    <row r="852" ht="12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6"/>
    </row>
    <row r="853" ht="12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6"/>
    </row>
    <row r="854" ht="12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6"/>
    </row>
    <row r="855" ht="12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6"/>
    </row>
    <row r="856" ht="12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6"/>
    </row>
    <row r="857" ht="12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6"/>
    </row>
    <row r="858" ht="12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6"/>
    </row>
    <row r="859" ht="12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6"/>
    </row>
    <row r="860" ht="12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6"/>
    </row>
    <row r="861" ht="12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6"/>
    </row>
    <row r="862" ht="12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6"/>
    </row>
    <row r="863" ht="12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6"/>
    </row>
    <row r="864" ht="12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6"/>
    </row>
    <row r="865" ht="12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6"/>
    </row>
    <row r="866" ht="12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6"/>
    </row>
    <row r="867" ht="12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6"/>
    </row>
    <row r="868" ht="12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6"/>
    </row>
    <row r="869" ht="12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6"/>
    </row>
    <row r="870" ht="12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6"/>
    </row>
    <row r="871" ht="12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6"/>
    </row>
    <row r="872" ht="12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6"/>
    </row>
    <row r="873" ht="12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6"/>
    </row>
    <row r="874" ht="12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6"/>
    </row>
    <row r="875" ht="12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6"/>
    </row>
    <row r="876" ht="12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6"/>
    </row>
    <row r="877" ht="12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6"/>
    </row>
    <row r="878" ht="12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6"/>
    </row>
    <row r="879" ht="12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6"/>
    </row>
    <row r="880" ht="12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6"/>
    </row>
    <row r="881" ht="12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6"/>
    </row>
    <row r="882" ht="12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6"/>
    </row>
    <row r="883" ht="12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6"/>
    </row>
    <row r="884" ht="12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6"/>
    </row>
    <row r="885" ht="12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6"/>
    </row>
    <row r="886" ht="12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6"/>
    </row>
    <row r="887" ht="12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6"/>
    </row>
    <row r="888" ht="12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6"/>
    </row>
    <row r="889" ht="12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6"/>
    </row>
    <row r="890" ht="12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6"/>
    </row>
    <row r="891" ht="12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6"/>
    </row>
    <row r="892" ht="12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6"/>
    </row>
    <row r="893" ht="12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6"/>
    </row>
    <row r="894" ht="12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6"/>
    </row>
    <row r="895" ht="12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6"/>
    </row>
    <row r="896" ht="12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6"/>
    </row>
    <row r="897" ht="12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6"/>
    </row>
    <row r="898" ht="12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6"/>
    </row>
    <row r="899" ht="12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6"/>
    </row>
    <row r="900" ht="12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6"/>
    </row>
    <row r="901" ht="12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6"/>
    </row>
    <row r="902" ht="12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6"/>
    </row>
    <row r="903" ht="12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6"/>
    </row>
    <row r="904" ht="12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6"/>
    </row>
    <row r="905" ht="12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6"/>
    </row>
    <row r="906" ht="12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6"/>
    </row>
    <row r="907" ht="12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6"/>
    </row>
    <row r="908" ht="12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6"/>
    </row>
    <row r="909" ht="12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6"/>
    </row>
    <row r="910" ht="12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6"/>
    </row>
    <row r="911" ht="12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6"/>
    </row>
    <row r="912" ht="12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6"/>
    </row>
    <row r="913" ht="12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6"/>
    </row>
    <row r="914" ht="12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6"/>
    </row>
    <row r="915" ht="12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6"/>
    </row>
    <row r="916" ht="12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6"/>
    </row>
    <row r="917" ht="12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6"/>
    </row>
    <row r="918" ht="12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6"/>
    </row>
    <row r="919" ht="12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6"/>
    </row>
    <row r="920" ht="12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6"/>
    </row>
    <row r="921" ht="12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6"/>
    </row>
    <row r="922" ht="12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6"/>
    </row>
    <row r="923" ht="12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6"/>
    </row>
    <row r="924" ht="12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6"/>
    </row>
    <row r="925" ht="12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6"/>
    </row>
    <row r="926" ht="12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6"/>
    </row>
    <row r="927" ht="12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6"/>
    </row>
    <row r="928" ht="12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6"/>
    </row>
    <row r="929" ht="12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6"/>
    </row>
    <row r="930" ht="12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6"/>
    </row>
    <row r="931" ht="12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6"/>
    </row>
    <row r="932" ht="12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6"/>
    </row>
    <row r="933" ht="12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6"/>
    </row>
    <row r="934" ht="12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6"/>
    </row>
    <row r="935" ht="12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6"/>
    </row>
    <row r="936" ht="12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6"/>
    </row>
    <row r="937" ht="12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6"/>
    </row>
    <row r="938" ht="12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6"/>
    </row>
    <row r="939" ht="12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6"/>
    </row>
    <row r="940" ht="12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6"/>
    </row>
    <row r="941" ht="12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6"/>
    </row>
    <row r="942" ht="12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6"/>
    </row>
    <row r="943" ht="12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6"/>
    </row>
    <row r="944" ht="12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6"/>
    </row>
    <row r="945" ht="12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6"/>
    </row>
    <row r="946" ht="12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6"/>
    </row>
    <row r="947" ht="12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6"/>
    </row>
    <row r="948" ht="12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6"/>
    </row>
    <row r="949" ht="12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6"/>
    </row>
    <row r="950" ht="12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6"/>
    </row>
    <row r="951" ht="12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6"/>
    </row>
    <row r="952" ht="12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6"/>
    </row>
    <row r="953" ht="12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6"/>
    </row>
    <row r="954" ht="12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6"/>
    </row>
    <row r="955" ht="12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6"/>
    </row>
    <row r="956" ht="12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6"/>
    </row>
    <row r="957" ht="12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6"/>
    </row>
    <row r="958" ht="12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6"/>
    </row>
    <row r="959" ht="12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6"/>
    </row>
    <row r="960" ht="12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6"/>
    </row>
    <row r="961" ht="12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6"/>
    </row>
    <row r="962" ht="12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6"/>
    </row>
    <row r="963" ht="12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6"/>
    </row>
    <row r="964" ht="12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6"/>
    </row>
    <row r="965" ht="12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6"/>
    </row>
    <row r="966" ht="12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6"/>
    </row>
    <row r="967" ht="12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6"/>
    </row>
    <row r="968" ht="12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6"/>
    </row>
    <row r="969" ht="12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6"/>
    </row>
    <row r="970" ht="12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6"/>
    </row>
    <row r="971" ht="12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6"/>
    </row>
    <row r="972" ht="12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6"/>
    </row>
    <row r="973" ht="12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6"/>
    </row>
    <row r="974" ht="12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6"/>
    </row>
    <row r="975" ht="12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6"/>
    </row>
    <row r="976" ht="12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6"/>
    </row>
    <row r="977" ht="12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6"/>
    </row>
    <row r="978" ht="12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6"/>
    </row>
    <row r="979" ht="12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6"/>
    </row>
    <row r="980" ht="12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6"/>
    </row>
    <row r="981" ht="12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6"/>
    </row>
    <row r="982" ht="12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6"/>
    </row>
    <row r="983" ht="12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6"/>
    </row>
    <row r="984" ht="12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6"/>
    </row>
    <row r="985" ht="12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6"/>
    </row>
    <row r="986" ht="12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6"/>
    </row>
    <row r="987" ht="12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6"/>
    </row>
    <row r="988" ht="12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6"/>
    </row>
    <row r="989" ht="12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6"/>
    </row>
    <row r="990" ht="12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6"/>
    </row>
    <row r="991" ht="12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6"/>
    </row>
    <row r="992" ht="12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6"/>
    </row>
    <row r="993" ht="12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6"/>
    </row>
    <row r="994" ht="12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6"/>
    </row>
    <row r="995" ht="12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6"/>
    </row>
    <row r="996" ht="12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6"/>
    </row>
    <row r="997" ht="12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6"/>
    </row>
    <row r="998" ht="12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6"/>
    </row>
    <row r="999" ht="12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6"/>
    </row>
    <row r="1000" ht="12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6"/>
    </row>
  </sheetData>
  <mergeCells count="32">
    <mergeCell ref="C2:M2"/>
    <mergeCell ref="E3:F3"/>
    <mergeCell ref="I3:M3"/>
    <mergeCell ref="F4:M4"/>
    <mergeCell ref="E5:G5"/>
    <mergeCell ref="G6:M6"/>
    <mergeCell ref="C9:F9"/>
    <mergeCell ref="C10:D10"/>
    <mergeCell ref="E10:F10"/>
    <mergeCell ref="H10:N10"/>
    <mergeCell ref="C11:F11"/>
    <mergeCell ref="I11:L11"/>
    <mergeCell ref="E12:F12"/>
    <mergeCell ref="J12:K12"/>
    <mergeCell ref="C12:D12"/>
    <mergeCell ref="C13:D13"/>
    <mergeCell ref="E13:F13"/>
    <mergeCell ref="D15:G16"/>
    <mergeCell ref="N15:Q16"/>
    <mergeCell ref="D25:J25"/>
    <mergeCell ref="L25:R25"/>
    <mergeCell ref="P45:S45"/>
    <mergeCell ref="J47:S47"/>
    <mergeCell ref="M50:S50"/>
    <mergeCell ref="M51:S51"/>
    <mergeCell ref="C25:C26"/>
    <mergeCell ref="D34:G35"/>
    <mergeCell ref="N35:Q36"/>
    <mergeCell ref="I38:L39"/>
    <mergeCell ref="C42:F43"/>
    <mergeCell ref="G44:L44"/>
    <mergeCell ref="C45:O4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2006-05-27T16:35:44Z</dcterms:created>
  <dc:creator>LISBELL</dc:creator>
</cp:coreProperties>
</file>