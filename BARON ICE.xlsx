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oja1" sheetId="1" r:id="rId4"/>
    <sheet state="hidden" name="Hoja4" sheetId="2" r:id="rId5"/>
    <sheet state="hidden" name="Hoja5" sheetId="3" r:id="rId6"/>
    <sheet state="visible" name="Datos de Filiación" sheetId="4" r:id="rId7"/>
    <sheet state="visible" name="Plantilla de Correción" sheetId="5" r:id="rId8"/>
    <sheet state="visible" name="Validez" sheetId="6" r:id="rId9"/>
    <sheet state="visible" name="Resultados" sheetId="7" r:id="rId10"/>
    <sheet state="visible" name="Perfil Gráfico" sheetId="8" r:id="rId11"/>
    <sheet state="hidden" name="Hoja3" sheetId="9" r:id="rId12"/>
    <sheet state="hidden" name="Plantilla N." sheetId="10" r:id="rId13"/>
  </sheets>
  <definedNames/>
  <calcPr/>
  <extLst>
    <ext uri="GoogleSheetsCustomDataVersion2">
      <go:sheetsCustomData xmlns:go="http://customooxmlschemas.google.com/" r:id="rId14" roundtripDataChecksum="f31dg1GAOUWURUkTqZ/QyKPOK7LNWrUAYhLWiJ1nbDI="/>
    </ext>
  </extLst>
</workbook>
</file>

<file path=xl/sharedStrings.xml><?xml version="1.0" encoding="utf-8"?>
<sst xmlns="http://schemas.openxmlformats.org/spreadsheetml/2006/main" count="375" uniqueCount="126">
  <si>
    <t>INTRAPERSONALES</t>
  </si>
  <si>
    <t>Conocimiento Emocional de si mismo</t>
  </si>
  <si>
    <t>Asertividad</t>
  </si>
  <si>
    <t>Autoconcepto</t>
  </si>
  <si>
    <t>Autorrealizacion</t>
  </si>
  <si>
    <t>Independencia</t>
  </si>
  <si>
    <t>INTERPERSONALES</t>
  </si>
  <si>
    <t>Relaciones Interpersonales</t>
  </si>
  <si>
    <t>Responsabilidad Social</t>
  </si>
  <si>
    <t>Empatia</t>
  </si>
  <si>
    <t>ADAPTABILIDAD</t>
  </si>
  <si>
    <t>Solucion de Problemas</t>
  </si>
  <si>
    <t>Prueba de la realidad</t>
  </si>
  <si>
    <t>Flexibilidad</t>
  </si>
  <si>
    <t>MANEJO DEL ESTRÉS</t>
  </si>
  <si>
    <t>Tolerancia al Estrés</t>
  </si>
  <si>
    <t>Control de Impulsos</t>
  </si>
  <si>
    <t>ANIMO GENERAL</t>
  </si>
  <si>
    <t>Felicidad</t>
  </si>
  <si>
    <t>VALIDEZ</t>
  </si>
  <si>
    <t>Impresión positiva</t>
  </si>
  <si>
    <t>Optimismo</t>
  </si>
  <si>
    <t>Impresión Negativa</t>
  </si>
  <si>
    <t>GENERAL</t>
  </si>
  <si>
    <t>INTRAPERSONAL</t>
  </si>
  <si>
    <t>Comprensión de sí mismo (CM)</t>
  </si>
  <si>
    <t>Asertividad (AS)</t>
  </si>
  <si>
    <t>Autoconcepto (AC)</t>
  </si>
  <si>
    <t>Autorrealizacion (AR)</t>
  </si>
  <si>
    <t>Independencia (IN)</t>
  </si>
  <si>
    <t>Empatia (EM)</t>
  </si>
  <si>
    <t>Relaciones Interpersonales (RI)</t>
  </si>
  <si>
    <t>Responsabilidad Social (RS)</t>
  </si>
  <si>
    <t>Solucion de Problemas (SP)</t>
  </si>
  <si>
    <t>Prueba de la Realidad (PR)</t>
  </si>
  <si>
    <t>Flexibilidad (FL)</t>
  </si>
  <si>
    <t>MANEJO DE LA TENSION</t>
  </si>
  <si>
    <t>Manejo del Estrés (ME)</t>
  </si>
  <si>
    <t>Control de Impulsos (CI)</t>
  </si>
  <si>
    <t>Felicidad (FE)</t>
  </si>
  <si>
    <t>Optimismo (OP)</t>
  </si>
  <si>
    <t>NORTH AMERICAN NORMATIVE DATA</t>
  </si>
  <si>
    <t>Descriptive Statistics in raw Scores for the North American Sanmple</t>
  </si>
  <si>
    <t>AJ</t>
  </si>
  <si>
    <t>AN</t>
  </si>
  <si>
    <t>AO</t>
  </si>
  <si>
    <t>EQI</t>
  </si>
  <si>
    <t>Mean</t>
  </si>
  <si>
    <t>Sd</t>
  </si>
  <si>
    <t>Positive Impression</t>
  </si>
  <si>
    <t>Negative Impression</t>
  </si>
  <si>
    <t>Inconsistency Index</t>
  </si>
  <si>
    <t>TOTAL EQ</t>
  </si>
  <si>
    <t>Intrapersonl EQ</t>
  </si>
  <si>
    <t>Interpersonal EQ</t>
  </si>
  <si>
    <t>Adaptability EQ</t>
  </si>
  <si>
    <t>Stress Management  EQ</t>
  </si>
  <si>
    <t>General Mood EQ</t>
  </si>
  <si>
    <t>Emotional self-Awareness</t>
  </si>
  <si>
    <t>Assertiveness</t>
  </si>
  <si>
    <t>Self-Regard</t>
  </si>
  <si>
    <t>Self-Actualization</t>
  </si>
  <si>
    <t>Independence</t>
  </si>
  <si>
    <t>Empathy</t>
  </si>
  <si>
    <t>Interpersonal Relationship</t>
  </si>
  <si>
    <t>Social Responsability</t>
  </si>
  <si>
    <t>Problem Solving</t>
  </si>
  <si>
    <t>Reality Testing</t>
  </si>
  <si>
    <t>Flexibility</t>
  </si>
  <si>
    <t>Stress Tolerance</t>
  </si>
  <si>
    <t>Impulse Control</t>
  </si>
  <si>
    <t>Happiness</t>
  </si>
  <si>
    <t>Optimism</t>
  </si>
  <si>
    <t>@dropdown</t>
  </si>
  <si>
    <t>Martin Castellano 2001</t>
  </si>
  <si>
    <t>Nombre</t>
  </si>
  <si>
    <t>Apellidos</t>
  </si>
  <si>
    <t>Fecha de Nacimiento</t>
  </si>
  <si>
    <t>Edad</t>
  </si>
  <si>
    <t>13 AÑOS</t>
  </si>
  <si>
    <t>Sexo</t>
  </si>
  <si>
    <t>MASCULINO</t>
  </si>
  <si>
    <t>Ocupacion</t>
  </si>
  <si>
    <t>ESTUDIANTE</t>
  </si>
  <si>
    <t>Fecha de Aplicación</t>
  </si>
  <si>
    <t>Para Corregir la prueba del BARÓN Ud. debe de introducr los datos de filiación en esta hoja y luego de introducidos estos Ud. debera de pasar a la Hoja de "Plantilla de Correción" para introducir en las columnas de color Plomo los numeros de las respuestas dadas por el sujeto. Luego de haber introducidos los datos Ud. debera de fiijarse el la Hoja de "valdez" para ver si realmente la prueba es consistente y luego de corroborado esto pasara Ud. a imprimir la hoja de "resultados" y la hoja del "Perfil gráfico" para al final con estos datos poder hacer un perfil del sujeto que Ud. esta examinando.</t>
  </si>
  <si>
    <t>items</t>
  </si>
  <si>
    <t>Pun. Directo</t>
  </si>
  <si>
    <t>Punt. Convertido</t>
  </si>
  <si>
    <t>ESTADO DE ANIMO G</t>
  </si>
  <si>
    <t>MANEJO DEL ESTRES</t>
  </si>
  <si>
    <t>INTERPERSONAL</t>
  </si>
  <si>
    <t>Máximo 3 ítems pueden ser omitidos</t>
  </si>
  <si>
    <t>AC</t>
  </si>
  <si>
    <t>AR</t>
  </si>
  <si>
    <t>RI</t>
  </si>
  <si>
    <t>RS</t>
  </si>
  <si>
    <t>PR</t>
  </si>
  <si>
    <t>TE</t>
  </si>
  <si>
    <t>CI</t>
  </si>
  <si>
    <t>FE</t>
  </si>
  <si>
    <t>Máximo 2 ítems pueden ser omitidos</t>
  </si>
  <si>
    <t>CM</t>
  </si>
  <si>
    <t>EM</t>
  </si>
  <si>
    <t>FL</t>
  </si>
  <si>
    <t>SP</t>
  </si>
  <si>
    <t>OP</t>
  </si>
  <si>
    <t>Máximo 1  ítem pueden ser omitidos</t>
  </si>
  <si>
    <t>AS</t>
  </si>
  <si>
    <t>IN</t>
  </si>
  <si>
    <t>INDICE DE INCONSISTENCIA</t>
  </si>
  <si>
    <t>Más de 12 respuestas se invalida</t>
  </si>
  <si>
    <t>HOJA DE RESULTADOS DEL INVETARIO EMOCIONAL DE BARON</t>
  </si>
  <si>
    <t>Nombre y Apellidos</t>
  </si>
  <si>
    <t>Fecha de Nacimento</t>
  </si>
  <si>
    <t>Genero</t>
  </si>
  <si>
    <t>Ocupación</t>
  </si>
  <si>
    <t>F. Correción</t>
  </si>
  <si>
    <t>Tolerancia al Estrés (TE)</t>
  </si>
  <si>
    <t>CE</t>
  </si>
  <si>
    <t>Impresión Positiva</t>
  </si>
  <si>
    <t>Tolerancia al Stress</t>
  </si>
  <si>
    <t>NOMBRE         :   N.N.</t>
  </si>
  <si>
    <t>EDAD                :   26</t>
  </si>
  <si>
    <t xml:space="preserve">OCUPACIÓN   :   ESTUDIANTE DE LITERATURA </t>
  </si>
  <si>
    <t>FECHA             :  20 - 05 -00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</si>
</sst>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quot;S/&quot;* #,##0.00_ ;_ &quot;S/&quot;* \-#,##0.00_ ;_ &quot;S/&quot;* &quot;-&quot;??_ ;_ @_ "/>
    <numFmt numFmtId="165" formatCode="##\ &quot;años&quot;"/>
    <numFmt numFmtId="166" formatCode="d\-mmm\-yyyy"/>
  </numFmts>
  <fonts count="33">
    <font>
      <sz val="10.0"/>
      <color rgb="FF000000"/>
      <name val="Calibri"/>
      <scheme val="minor"/>
    </font>
    <font>
      <b/>
      <sz val="12.0"/>
      <color theme="1"/>
      <name val="Open Sans"/>
    </font>
    <font>
      <sz val="10.0"/>
      <color rgb="FF000090"/>
      <name val="Arial"/>
    </font>
    <font>
      <sz val="10.0"/>
      <color theme="1"/>
      <name val="Arial"/>
    </font>
    <font/>
    <font>
      <b/>
      <sz val="12.0"/>
      <color theme="1"/>
      <name val="Arial"/>
    </font>
    <font>
      <color theme="1"/>
      <name val="Calibri"/>
      <scheme val="minor"/>
    </font>
    <font>
      <b/>
      <sz val="10.0"/>
      <color rgb="FF006411"/>
      <name val="Arial"/>
    </font>
    <font>
      <sz val="10.0"/>
      <color rgb="FF006411"/>
      <name val="Arial"/>
    </font>
    <font>
      <sz val="10.0"/>
      <color rgb="FF900000"/>
      <name val="Arial"/>
    </font>
    <font>
      <sz val="10.0"/>
      <color rgb="FF993300"/>
      <name val="Arial"/>
    </font>
    <font>
      <b/>
      <sz val="16.0"/>
      <color rgb="FFFFFFFF"/>
      <name val="Arial"/>
    </font>
    <font>
      <sz val="10.0"/>
      <color rgb="FFFFFFFF"/>
      <name val="EB Garamond"/>
    </font>
    <font>
      <sz val="10.0"/>
      <color theme="1"/>
      <name val="EB Garamond"/>
    </font>
    <font>
      <b/>
      <sz val="12.0"/>
      <color rgb="FFFFFFFF"/>
      <name val="EB Garamond"/>
    </font>
    <font>
      <b/>
      <sz val="10.0"/>
      <color theme="1"/>
      <name val="Arial"/>
    </font>
    <font>
      <b/>
      <sz val="8.0"/>
      <color theme="1"/>
      <name val="Arial"/>
    </font>
    <font>
      <b/>
      <sz val="8.0"/>
      <color rgb="FFDD0806"/>
      <name val="Arial"/>
    </font>
    <font>
      <b/>
      <sz val="10.0"/>
      <color rgb="FFFFFFFF"/>
      <name val="Arial"/>
    </font>
    <font>
      <sz val="10.0"/>
      <color rgb="FFFFFFFF"/>
      <name val="Arial"/>
    </font>
    <font>
      <b/>
      <sz val="10.0"/>
      <color rgb="FFDD0806"/>
      <name val="Arial"/>
    </font>
    <font>
      <b/>
      <sz val="16.0"/>
      <color rgb="FFF20884"/>
      <name val="Arial"/>
    </font>
    <font>
      <sz val="10.0"/>
      <color rgb="FFF20884"/>
      <name val="Arial"/>
    </font>
    <font>
      <sz val="10.0"/>
      <color rgb="FFDD0806"/>
      <name val="Arial"/>
    </font>
    <font>
      <b/>
      <sz val="16.0"/>
      <color rgb="FFFFFFFF"/>
      <name val="EB Garamond"/>
    </font>
    <font>
      <sz val="11.0"/>
      <color theme="1"/>
      <name val="EB Garamond"/>
    </font>
    <font>
      <b/>
      <sz val="11.0"/>
      <color theme="1"/>
      <name val="EB Garamond"/>
    </font>
    <font>
      <b/>
      <sz val="11.0"/>
      <color rgb="FFDD0806"/>
      <name val="EB Garamond"/>
    </font>
    <font>
      <sz val="11.0"/>
      <color rgb="FF4600A5"/>
      <name val="EB Garamond"/>
    </font>
    <font>
      <sz val="11.0"/>
      <color rgb="FF003300"/>
      <name val="EB Garamond"/>
    </font>
    <font>
      <b/>
      <sz val="11.0"/>
      <color rgb="FF006411"/>
      <name val="Arial"/>
    </font>
    <font>
      <sz val="10.0"/>
      <color rgb="FF4600A5"/>
      <name val="Arial"/>
    </font>
    <font>
      <sz val="10.0"/>
      <color rgb="FF003300"/>
      <name val="Arial"/>
    </font>
  </fonts>
  <fills count="11">
    <fill>
      <patternFill patternType="none"/>
    </fill>
    <fill>
      <patternFill patternType="lightGray"/>
    </fill>
    <fill>
      <patternFill patternType="solid">
        <fgColor rgb="FFCCFFFF"/>
        <bgColor rgb="FFCCFFFF"/>
      </patternFill>
    </fill>
    <fill>
      <patternFill patternType="solid">
        <fgColor rgb="FFFFFF99"/>
        <bgColor rgb="FFFFFF99"/>
      </patternFill>
    </fill>
    <fill>
      <patternFill patternType="solid">
        <fgColor rgb="FF008080"/>
        <bgColor rgb="FF008080"/>
      </patternFill>
    </fill>
    <fill>
      <patternFill patternType="solid">
        <fgColor rgb="FF000000"/>
        <bgColor rgb="FF000000"/>
      </patternFill>
    </fill>
    <fill>
      <patternFill patternType="solid">
        <fgColor rgb="FFFFFFFF"/>
        <bgColor rgb="FFFFFFFF"/>
      </patternFill>
    </fill>
    <fill>
      <patternFill patternType="solid">
        <fgColor rgb="FFFCF305"/>
        <bgColor rgb="FFFCF305"/>
      </patternFill>
    </fill>
    <fill>
      <patternFill patternType="solid">
        <fgColor rgb="FF90713A"/>
        <bgColor rgb="FF90713A"/>
      </patternFill>
    </fill>
    <fill>
      <patternFill patternType="solid">
        <fgColor rgb="FFC0C0C0"/>
        <bgColor rgb="FFC0C0C0"/>
      </patternFill>
    </fill>
    <fill>
      <patternFill patternType="solid">
        <fgColor rgb="FFCCFFCC"/>
        <bgColor rgb="FFCCFFCC"/>
      </patternFill>
    </fill>
  </fills>
  <borders count="50">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
      <left style="thin">
        <color rgb="FF000000"/>
      </left>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right/>
      <top/>
    </border>
    <border>
      <left/>
      <bottom/>
    </border>
    <border>
      <bottom/>
    </border>
    <border>
      <right/>
      <bottom/>
    </border>
    <border>
      <left/>
      <top/>
      <bottom/>
    </border>
    <border>
      <top/>
      <bottom/>
    </border>
    <border>
      <right/>
      <top/>
      <bottom/>
    </border>
    <border>
      <left/>
      <right/>
      <top/>
      <bottom/>
    </border>
    <border>
      <left style="medium">
        <color rgb="FF006411"/>
      </left>
      <top style="medium">
        <color rgb="FF006411"/>
      </top>
      <bottom style="medium">
        <color rgb="FF006411"/>
      </bottom>
    </border>
    <border>
      <top style="medium">
        <color rgb="FF006411"/>
      </top>
      <bottom style="medium">
        <color rgb="FF006411"/>
      </bottom>
    </border>
    <border>
      <right style="medium">
        <color rgb="FF006411"/>
      </right>
      <top style="medium">
        <color rgb="FF006411"/>
      </top>
      <bottom style="medium">
        <color rgb="FF006411"/>
      </bottom>
    </border>
    <border>
      <left/>
    </border>
    <border>
      <right/>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
      <left/>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border>
    <border>
      <left style="medium">
        <color rgb="FF000000"/>
      </left>
      <right style="medium">
        <color rgb="FF000000"/>
      </right>
      <top/>
      <bottom/>
    </border>
    <border>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bottom/>
    </border>
    <border>
      <left/>
      <right/>
      <top style="thin">
        <color rgb="FF000000"/>
      </top>
      <bottom style="thin">
        <color rgb="FF000000"/>
      </bottom>
    </border>
    <border>
      <left/>
      <right/>
      <top/>
      <bottom style="medium">
        <color rgb="FF000000"/>
      </bottom>
    </border>
    <border>
      <left/>
      <top/>
      <bottom style="thin">
        <color rgb="FF000000"/>
      </bottom>
    </border>
    <border>
      <top/>
      <bottom style="thin">
        <color rgb="FF000000"/>
      </bottom>
    </border>
    <border>
      <right style="medium">
        <color rgb="FF000000"/>
      </right>
      <top/>
      <bottom style="thin">
        <color rgb="FF000000"/>
      </bottom>
    </border>
    <border>
      <right style="medium">
        <color rgb="FF000000"/>
      </right>
      <top style="thin">
        <color rgb="FF000000"/>
      </top>
      <bottom style="thin">
        <color rgb="FF000000"/>
      </bottom>
    </border>
    <border>
      <left style="medium">
        <color rgb="FF000000"/>
      </left>
      <right/>
      <top style="thin">
        <color rgb="FF000000"/>
      </top>
      <bottom style="thin">
        <color rgb="FF000000"/>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1" fillId="2" fontId="2" numFmtId="1" xfId="0" applyAlignment="1" applyBorder="1" applyFill="1" applyFont="1" applyNumberFormat="1">
      <alignment shrinkToFit="0" vertical="bottom" wrapText="0"/>
    </xf>
    <xf borderId="2" fillId="0" fontId="3" numFmtId="0" xfId="0" applyAlignment="1" applyBorder="1" applyFont="1">
      <alignment horizontal="center" shrinkToFit="0" vertical="bottom" wrapText="0"/>
    </xf>
    <xf borderId="3" fillId="0" fontId="4" numFmtId="0" xfId="0" applyBorder="1" applyFont="1"/>
    <xf borderId="4" fillId="0" fontId="4" numFmtId="0" xfId="0" applyBorder="1" applyFont="1"/>
    <xf borderId="5" fillId="0" fontId="3" numFmtId="0" xfId="0" applyAlignment="1" applyBorder="1" applyFont="1">
      <alignment shrinkToFit="0" vertical="bottom" wrapText="0"/>
    </xf>
    <xf borderId="6" fillId="0" fontId="3" numFmtId="1" xfId="0" applyAlignment="1" applyBorder="1" applyFont="1" applyNumberFormat="1">
      <alignment horizontal="center" shrinkToFit="0" vertical="bottom" wrapText="0"/>
    </xf>
    <xf borderId="7" fillId="0" fontId="4" numFmtId="0" xfId="0" applyBorder="1" applyFont="1"/>
    <xf borderId="5" fillId="0" fontId="4" numFmtId="0" xfId="0" applyBorder="1" applyFont="1"/>
    <xf borderId="0" fillId="0" fontId="3" numFmtId="0" xfId="0" applyAlignment="1" applyFont="1">
      <alignment shrinkToFit="0" vertical="bottom" wrapText="0"/>
    </xf>
    <xf borderId="0" fillId="0" fontId="5" numFmtId="0" xfId="0" applyAlignment="1" applyFont="1">
      <alignment horizontal="center" shrinkToFit="0" vertical="bottom" wrapText="0"/>
    </xf>
    <xf borderId="0" fillId="0" fontId="6" numFmtId="1" xfId="0" applyFont="1" applyNumberFormat="1"/>
    <xf borderId="8" fillId="3" fontId="2" numFmtId="0" xfId="0" applyAlignment="1" applyBorder="1" applyFill="1" applyFont="1">
      <alignment horizontal="center" shrinkToFit="0" vertical="bottom" wrapText="0"/>
    </xf>
    <xf borderId="9" fillId="0" fontId="4" numFmtId="0" xfId="0" applyBorder="1" applyFont="1"/>
    <xf borderId="10" fillId="0" fontId="4" numFmtId="0" xfId="0" applyBorder="1" applyFont="1"/>
    <xf borderId="0" fillId="0" fontId="3" numFmtId="0" xfId="0" applyAlignment="1" applyFont="1">
      <alignment horizontal="center" shrinkToFit="0" vertical="bottom" wrapText="0"/>
    </xf>
    <xf borderId="1" fillId="3" fontId="2" numFmtId="1" xfId="0" applyAlignment="1" applyBorder="1" applyFont="1" applyNumberFormat="1">
      <alignment shrinkToFit="0" vertical="bottom" wrapText="0"/>
    </xf>
    <xf borderId="8" fillId="3" fontId="7" numFmtId="0" xfId="0" applyAlignment="1" applyBorder="1" applyFont="1">
      <alignment horizontal="center" shrinkToFit="0" vertical="bottom" wrapText="0"/>
    </xf>
    <xf borderId="1" fillId="3" fontId="8" numFmtId="1" xfId="0" applyAlignment="1" applyBorder="1" applyFont="1" applyNumberFormat="1">
      <alignment shrinkToFit="0" vertical="bottom" wrapText="0"/>
    </xf>
    <xf borderId="8" fillId="3" fontId="9" numFmtId="0" xfId="0" applyAlignment="1" applyBorder="1" applyFont="1">
      <alignment horizontal="center" shrinkToFit="0" vertical="bottom" wrapText="0"/>
    </xf>
    <xf borderId="0" fillId="0" fontId="9" numFmtId="0" xfId="0" applyAlignment="1" applyFont="1">
      <alignment horizontal="center" shrinkToFit="0" vertical="bottom" wrapText="0"/>
    </xf>
    <xf borderId="1" fillId="3" fontId="9" numFmtId="1" xfId="0" applyAlignment="1" applyBorder="1" applyFont="1" applyNumberFormat="1">
      <alignment shrinkToFit="0" vertical="bottom" wrapText="0"/>
    </xf>
    <xf borderId="0" fillId="0" fontId="9" numFmtId="0" xfId="0" applyAlignment="1" applyFont="1">
      <alignment shrinkToFit="0" vertical="bottom" wrapText="0"/>
    </xf>
    <xf borderId="0" fillId="0" fontId="8" numFmtId="0" xfId="0" applyAlignment="1" applyFont="1">
      <alignment horizontal="center" shrinkToFit="0" vertical="bottom" wrapText="0"/>
    </xf>
    <xf borderId="0" fillId="0" fontId="10" numFmtId="0" xfId="0" applyAlignment="1" applyFont="1">
      <alignment horizontal="center" shrinkToFit="0" vertical="bottom" wrapText="0"/>
    </xf>
    <xf borderId="0" fillId="0" fontId="3" numFmtId="1" xfId="0" applyAlignment="1" applyFont="1" applyNumberFormat="1">
      <alignment horizontal="center" shrinkToFit="0" vertical="bottom" wrapText="0"/>
    </xf>
    <xf borderId="0" fillId="0" fontId="6" numFmtId="0" xfId="0" applyFont="1"/>
    <xf borderId="0" fillId="0" fontId="3" numFmtId="2" xfId="0" applyAlignment="1" applyFont="1" applyNumberFormat="1">
      <alignment shrinkToFit="0" vertical="bottom" wrapText="0"/>
    </xf>
    <xf borderId="11" fillId="4" fontId="11" numFmtId="0" xfId="0" applyAlignment="1" applyBorder="1" applyFill="1" applyFont="1">
      <alignment horizontal="center" readingOrder="0" shrinkToFit="0" vertical="center" wrapText="0"/>
    </xf>
    <xf borderId="12" fillId="0" fontId="4" numFmtId="0" xfId="0" applyBorder="1" applyFont="1"/>
    <xf borderId="13" fillId="0" fontId="4" numFmtId="0" xfId="0" applyBorder="1" applyFont="1"/>
    <xf borderId="14" fillId="0" fontId="4" numFmtId="0" xfId="0" applyBorder="1" applyFont="1"/>
    <xf borderId="15" fillId="0" fontId="4" numFmtId="0" xfId="0" applyBorder="1" applyFont="1"/>
    <xf borderId="16" fillId="0" fontId="4" numFmtId="0" xfId="0" applyBorder="1" applyFont="1"/>
    <xf borderId="17" fillId="4" fontId="12" numFmtId="0" xfId="0" applyAlignment="1" applyBorder="1" applyFont="1">
      <alignment horizontal="center" shrinkToFit="0" vertical="bottom" wrapText="0"/>
    </xf>
    <xf borderId="18" fillId="0" fontId="4" numFmtId="0" xfId="0" applyBorder="1" applyFont="1"/>
    <xf borderId="19" fillId="0" fontId="4" numFmtId="0" xfId="0" applyBorder="1" applyFont="1"/>
    <xf borderId="20" fillId="4" fontId="13" numFmtId="0" xfId="0" applyAlignment="1" applyBorder="1" applyFont="1">
      <alignment shrinkToFit="0" vertical="bottom" wrapText="0"/>
    </xf>
    <xf borderId="20" fillId="5" fontId="12" numFmtId="0" xfId="0" applyAlignment="1" applyBorder="1" applyFill="1" applyFont="1">
      <alignment shrinkToFit="0" vertical="bottom" wrapText="0"/>
    </xf>
    <xf borderId="17" fillId="5" fontId="12" numFmtId="0" xfId="0" applyAlignment="1" applyBorder="1" applyFont="1">
      <alignment horizontal="left" shrinkToFit="0" vertical="bottom" wrapText="0"/>
    </xf>
    <xf borderId="21" fillId="6" fontId="13" numFmtId="0" xfId="0" applyAlignment="1" applyBorder="1" applyFill="1" applyFont="1">
      <alignment horizontal="center" shrinkToFit="0" vertical="bottom" wrapText="0"/>
    </xf>
    <xf borderId="22" fillId="0" fontId="4" numFmtId="0" xfId="0" applyBorder="1" applyFont="1"/>
    <xf borderId="23" fillId="0" fontId="4" numFmtId="0" xfId="0" applyBorder="1" applyFont="1"/>
    <xf borderId="20" fillId="5" fontId="12" numFmtId="0" xfId="0" applyAlignment="1" applyBorder="1" applyFont="1">
      <alignment horizontal="left" shrinkToFit="0" vertical="bottom" wrapText="0"/>
    </xf>
    <xf borderId="17" fillId="5" fontId="12" numFmtId="0" xfId="0" applyAlignment="1" applyBorder="1" applyFont="1">
      <alignment horizontal="center" shrinkToFit="0" vertical="bottom" wrapText="0"/>
    </xf>
    <xf borderId="21" fillId="6" fontId="13" numFmtId="14" xfId="0" applyAlignment="1" applyBorder="1" applyFont="1" applyNumberFormat="1">
      <alignment horizontal="center" shrinkToFit="0" vertical="bottom" wrapText="0"/>
    </xf>
    <xf borderId="11" fillId="4" fontId="14" numFmtId="0" xfId="0" applyAlignment="1" applyBorder="1" applyFont="1">
      <alignment horizontal="left" shrinkToFit="0" vertical="center" wrapText="0"/>
    </xf>
    <xf borderId="24" fillId="0" fontId="4" numFmtId="0" xfId="0" applyBorder="1" applyFont="1"/>
    <xf borderId="25" fillId="0" fontId="4" numFmtId="0" xfId="0" applyBorder="1" applyFont="1"/>
    <xf borderId="20" fillId="4" fontId="3" numFmtId="0" xfId="0" applyAlignment="1" applyBorder="1" applyFont="1">
      <alignment shrinkToFit="0" vertical="bottom" wrapText="0"/>
    </xf>
    <xf borderId="26" fillId="7" fontId="15" numFmtId="0" xfId="0" applyAlignment="1" applyBorder="1" applyFill="1" applyFont="1">
      <alignment horizontal="center" shrinkToFit="0" vertical="bottom" wrapText="0"/>
    </xf>
    <xf borderId="27" fillId="8" fontId="16" numFmtId="0" xfId="0" applyAlignment="1" applyBorder="1" applyFill="1" applyFont="1">
      <alignment horizontal="center" shrinkToFit="0" vertical="bottom" wrapText="0"/>
    </xf>
    <xf borderId="28" fillId="8" fontId="17" numFmtId="0" xfId="0" applyAlignment="1" applyBorder="1" applyFont="1">
      <alignment horizontal="center" shrinkToFit="0" vertical="bottom" wrapText="0"/>
    </xf>
    <xf borderId="26" fillId="8" fontId="17" numFmtId="0" xfId="0" applyAlignment="1" applyBorder="1" applyFont="1">
      <alignment horizontal="center" shrinkToFit="0" vertical="bottom" wrapText="0"/>
    </xf>
    <xf borderId="20" fillId="6" fontId="18" numFmtId="0" xfId="0" applyAlignment="1" applyBorder="1" applyFont="1">
      <alignment horizontal="center" shrinkToFit="0" vertical="bottom" wrapText="0"/>
    </xf>
    <xf borderId="0" fillId="0" fontId="19" numFmtId="0" xfId="0" applyAlignment="1" applyFont="1">
      <alignment shrinkToFit="0" vertical="bottom" wrapText="0"/>
    </xf>
    <xf borderId="1" fillId="7" fontId="15" numFmtId="0" xfId="0" applyAlignment="1" applyBorder="1" applyFont="1">
      <alignment horizontal="center" shrinkToFit="0" vertical="bottom" wrapText="0"/>
    </xf>
    <xf borderId="1" fillId="9" fontId="15" numFmtId="1" xfId="0" applyAlignment="1" applyBorder="1" applyFill="1" applyFont="1" applyNumberFormat="1">
      <alignment horizontal="center" shrinkToFit="0" vertical="bottom" wrapText="0"/>
    </xf>
    <xf borderId="1" fillId="8" fontId="20" numFmtId="1" xfId="0" applyAlignment="1" applyBorder="1" applyFont="1" applyNumberFormat="1">
      <alignment horizontal="center" shrinkToFit="0" vertical="bottom" wrapText="0"/>
    </xf>
    <xf borderId="1" fillId="9" fontId="15" numFmtId="0" xfId="0" applyAlignment="1" applyBorder="1" applyFont="1">
      <alignment horizontal="center" shrinkToFit="0" vertical="bottom" wrapText="0"/>
    </xf>
    <xf borderId="1" fillId="8" fontId="20" numFmtId="0" xfId="0" applyAlignment="1" applyBorder="1" applyFont="1">
      <alignment horizontal="center" shrinkToFit="0" vertical="bottom" wrapText="0"/>
    </xf>
    <xf borderId="0" fillId="0" fontId="15" numFmtId="0" xfId="0" applyAlignment="1" applyFont="1">
      <alignment horizontal="center" shrinkToFit="0" vertical="bottom" wrapText="0"/>
    </xf>
    <xf borderId="0" fillId="0" fontId="20" numFmtId="1" xfId="0" applyAlignment="1" applyFont="1" applyNumberFormat="1">
      <alignment horizontal="center" shrinkToFit="0" vertical="bottom" wrapText="0"/>
    </xf>
    <xf borderId="20" fillId="6" fontId="18" numFmtId="1" xfId="0" applyAlignment="1" applyBorder="1" applyFont="1" applyNumberFormat="1">
      <alignment horizontal="center" shrinkToFit="0" vertical="bottom" wrapText="0"/>
    </xf>
    <xf borderId="0" fillId="0" fontId="19" numFmtId="1" xfId="0" applyAlignment="1" applyFont="1" applyNumberFormat="1">
      <alignment shrinkToFit="0" vertical="bottom" wrapText="0"/>
    </xf>
    <xf borderId="0" fillId="0" fontId="10" numFmtId="164" xfId="0" applyAlignment="1" applyFont="1" applyNumberFormat="1">
      <alignment horizontal="center" shrinkToFit="0" vertical="bottom" wrapText="0"/>
    </xf>
    <xf borderId="0" fillId="0" fontId="10" numFmtId="0" xfId="0" applyAlignment="1" applyFont="1">
      <alignment shrinkToFit="0" vertical="bottom" wrapText="0"/>
    </xf>
    <xf borderId="0" fillId="0" fontId="10" numFmtId="1" xfId="0" applyAlignment="1" applyFont="1" applyNumberFormat="1">
      <alignment shrinkToFit="0" vertical="bottom" wrapText="0"/>
    </xf>
    <xf borderId="0" fillId="0" fontId="3" numFmtId="0" xfId="0" applyAlignment="1" applyFont="1">
      <alignment horizontal="left" shrinkToFit="0" vertical="bottom" wrapText="0"/>
    </xf>
    <xf borderId="0" fillId="0" fontId="3" numFmtId="14" xfId="0" applyAlignment="1" applyFont="1" applyNumberFormat="1">
      <alignment horizontal="left" shrinkToFit="0" vertical="bottom" wrapText="0"/>
    </xf>
    <xf borderId="0" fillId="0" fontId="20" numFmtId="0" xfId="0" applyAlignment="1" applyFont="1">
      <alignment horizontal="center" shrinkToFit="0" vertical="bottom" wrapText="0"/>
    </xf>
    <xf borderId="0" fillId="0" fontId="3" numFmtId="1" xfId="0" applyAlignment="1" applyFont="1" applyNumberFormat="1">
      <alignment shrinkToFit="0" vertical="bottom" wrapText="0"/>
    </xf>
    <xf borderId="0" fillId="0" fontId="21" numFmtId="0" xfId="0" applyAlignment="1" applyFont="1">
      <alignment horizontal="center" shrinkToFit="0" vertical="bottom" wrapText="0"/>
    </xf>
    <xf borderId="0" fillId="0" fontId="22" numFmtId="0" xfId="0" applyAlignment="1" applyFont="1">
      <alignment horizontal="center" shrinkToFit="0" vertical="bottom" wrapText="0"/>
    </xf>
    <xf borderId="1" fillId="7" fontId="23" numFmtId="0" xfId="0" applyAlignment="1" applyBorder="1" applyFont="1">
      <alignment horizontal="center" shrinkToFit="0" vertical="bottom" wrapText="0"/>
    </xf>
    <xf borderId="1" fillId="7" fontId="20" numFmtId="1" xfId="0" applyAlignment="1" applyBorder="1" applyFont="1" applyNumberFormat="1">
      <alignment horizontal="center" shrinkToFit="0" vertical="bottom" wrapText="0"/>
    </xf>
    <xf borderId="1" fillId="7" fontId="20" numFmtId="1" xfId="0" applyAlignment="1" applyBorder="1" applyFont="1" applyNumberFormat="1">
      <alignment shrinkToFit="0" vertical="bottom" wrapText="0"/>
    </xf>
    <xf borderId="1" fillId="7" fontId="20" numFmtId="0" xfId="0" applyAlignment="1" applyBorder="1" applyFont="1">
      <alignment horizontal="center" shrinkToFit="0" vertical="bottom" wrapText="0"/>
    </xf>
    <xf borderId="29" fillId="0" fontId="3" numFmtId="1" xfId="0" applyAlignment="1" applyBorder="1" applyFont="1" applyNumberFormat="1">
      <alignment horizontal="center" shrinkToFit="0" vertical="bottom" wrapText="0"/>
    </xf>
    <xf borderId="3" fillId="0" fontId="3" numFmtId="1" xfId="0" applyAlignment="1" applyBorder="1" applyFont="1" applyNumberFormat="1">
      <alignment horizontal="center" shrinkToFit="0" vertical="bottom" wrapText="0"/>
    </xf>
    <xf borderId="4" fillId="0" fontId="3" numFmtId="1" xfId="0" applyAlignment="1" applyBorder="1" applyFont="1" applyNumberFormat="1">
      <alignment horizontal="center" shrinkToFit="0" vertical="bottom" wrapText="0"/>
    </xf>
    <xf borderId="30" fillId="0" fontId="3" numFmtId="1" xfId="0" applyAlignment="1" applyBorder="1" applyFont="1" applyNumberFormat="1">
      <alignment horizontal="center" shrinkToFit="0" vertical="bottom" wrapText="0"/>
    </xf>
    <xf borderId="7" fillId="0" fontId="3" numFmtId="1" xfId="0" applyAlignment="1" applyBorder="1" applyFont="1" applyNumberFormat="1">
      <alignment horizontal="center" shrinkToFit="0" vertical="bottom" wrapText="0"/>
    </xf>
    <xf borderId="5" fillId="0" fontId="3" numFmtId="1" xfId="0" applyAlignment="1" applyBorder="1" applyFont="1" applyNumberFormat="1">
      <alignment horizontal="center" shrinkToFit="0" vertical="bottom" wrapText="0"/>
    </xf>
    <xf borderId="11" fillId="5" fontId="24" numFmtId="0" xfId="0" applyAlignment="1" applyBorder="1" applyFont="1">
      <alignment horizontal="center" shrinkToFit="0" vertical="center" wrapText="0"/>
    </xf>
    <xf borderId="0" fillId="0" fontId="25" numFmtId="0" xfId="0" applyAlignment="1" applyFont="1">
      <alignment shrinkToFit="0" vertical="bottom" wrapText="0"/>
    </xf>
    <xf borderId="0" fillId="0" fontId="26" numFmtId="0" xfId="0" applyAlignment="1" applyFont="1">
      <alignment horizontal="center" shrinkToFit="0" vertical="bottom" wrapText="0"/>
    </xf>
    <xf borderId="0" fillId="0" fontId="27" numFmtId="1" xfId="0" applyAlignment="1" applyFont="1" applyNumberFormat="1">
      <alignment horizontal="center" shrinkToFit="0" vertical="bottom" wrapText="0"/>
    </xf>
    <xf borderId="2" fillId="0" fontId="25" numFmtId="0" xfId="0" applyAlignment="1" applyBorder="1" applyFont="1">
      <alignment horizontal="left" shrinkToFit="0" vertical="center" wrapText="0"/>
    </xf>
    <xf borderId="3" fillId="0" fontId="25" numFmtId="1" xfId="0" applyAlignment="1" applyBorder="1" applyFont="1" applyNumberFormat="1">
      <alignment horizontal="center" shrinkToFit="0" vertical="center" wrapText="0"/>
    </xf>
    <xf borderId="3" fillId="0" fontId="25" numFmtId="0" xfId="0" applyAlignment="1" applyBorder="1" applyFont="1">
      <alignment horizontal="center" shrinkToFit="0" vertical="center" wrapText="0"/>
    </xf>
    <xf borderId="31" fillId="0" fontId="25" numFmtId="0" xfId="0" applyAlignment="1" applyBorder="1" applyFont="1">
      <alignment horizontal="left" shrinkToFit="0" vertical="center" wrapText="0"/>
    </xf>
    <xf borderId="0" fillId="0" fontId="25" numFmtId="1" xfId="0" applyAlignment="1" applyFont="1" applyNumberFormat="1">
      <alignment horizontal="center" shrinkToFit="0" vertical="center" wrapText="0"/>
    </xf>
    <xf borderId="0" fillId="0" fontId="25" numFmtId="0" xfId="0" applyAlignment="1" applyFont="1">
      <alignment shrinkToFit="0" vertical="center" wrapText="0"/>
    </xf>
    <xf borderId="0" fillId="0" fontId="25" numFmtId="165" xfId="0" applyAlignment="1" applyFont="1" applyNumberFormat="1">
      <alignment horizontal="center" shrinkToFit="0" vertical="center" wrapText="0"/>
    </xf>
    <xf borderId="32" fillId="0" fontId="4" numFmtId="0" xfId="0" applyBorder="1" applyFont="1"/>
    <xf borderId="0" fillId="0" fontId="25" numFmtId="0" xfId="0" applyAlignment="1" applyFont="1">
      <alignment horizontal="center" shrinkToFit="0" vertical="center" wrapText="0"/>
    </xf>
    <xf borderId="6" fillId="0" fontId="25" numFmtId="0" xfId="0" applyAlignment="1" applyBorder="1" applyFont="1">
      <alignment horizontal="left" shrinkToFit="0" vertical="center" wrapText="0"/>
    </xf>
    <xf borderId="7" fillId="0" fontId="25" numFmtId="0" xfId="0" applyAlignment="1" applyBorder="1" applyFont="1">
      <alignment horizontal="left" shrinkToFit="0" vertical="center" wrapText="0"/>
    </xf>
    <xf borderId="7" fillId="0" fontId="25" numFmtId="166" xfId="0" applyAlignment="1" applyBorder="1" applyFont="1" applyNumberFormat="1">
      <alignment horizontal="center" shrinkToFit="0" vertical="center" wrapText="0"/>
    </xf>
    <xf borderId="7" fillId="0" fontId="25" numFmtId="0" xfId="0" applyAlignment="1" applyBorder="1" applyFont="1">
      <alignment shrinkToFit="0" vertical="center" wrapText="0"/>
    </xf>
    <xf borderId="0" fillId="0" fontId="25" numFmtId="0" xfId="0" applyAlignment="1" applyFont="1">
      <alignment horizontal="center" shrinkToFit="0" vertical="bottom" wrapText="0"/>
    </xf>
    <xf borderId="0" fillId="0" fontId="25" numFmtId="1" xfId="0" applyAlignment="1" applyFont="1" applyNumberFormat="1">
      <alignment horizontal="center" shrinkToFit="0" vertical="bottom" wrapText="0"/>
    </xf>
    <xf borderId="17" fillId="10" fontId="25" numFmtId="0" xfId="0" applyAlignment="1" applyBorder="1" applyFill="1" applyFont="1">
      <alignment horizontal="center" shrinkToFit="0" vertical="bottom" wrapText="0"/>
    </xf>
    <xf borderId="20" fillId="10" fontId="25" numFmtId="1" xfId="0" applyAlignment="1" applyBorder="1" applyFont="1" applyNumberFormat="1">
      <alignment horizontal="center" shrinkToFit="0" vertical="bottom" wrapText="0"/>
    </xf>
    <xf borderId="17" fillId="10" fontId="28" numFmtId="1" xfId="0" applyAlignment="1" applyBorder="1" applyFont="1" applyNumberFormat="1">
      <alignment horizontal="center" shrinkToFit="0" vertical="bottom" wrapText="0"/>
    </xf>
    <xf borderId="17" fillId="10" fontId="29" numFmtId="1" xfId="0" applyAlignment="1" applyBorder="1" applyFont="1" applyNumberFormat="1">
      <alignment horizontal="center" shrinkToFit="0" vertical="bottom" wrapText="0"/>
    </xf>
    <xf borderId="17" fillId="10" fontId="29" numFmtId="0" xfId="0" applyAlignment="1" applyBorder="1" applyFont="1">
      <alignment horizontal="center" shrinkToFit="0" vertical="bottom" wrapText="0"/>
    </xf>
    <xf borderId="17" fillId="10" fontId="28" numFmtId="0" xfId="0" applyAlignment="1" applyBorder="1" applyFont="1">
      <alignment horizontal="center" shrinkToFit="0" vertical="bottom" wrapText="0"/>
    </xf>
    <xf borderId="26" fillId="7" fontId="23" numFmtId="0" xfId="0" applyAlignment="1" applyBorder="1" applyFont="1">
      <alignment horizontal="center" shrinkToFit="0" vertical="bottom" wrapText="0"/>
    </xf>
    <xf borderId="28" fillId="10" fontId="30" numFmtId="0" xfId="0" applyAlignment="1" applyBorder="1" applyFont="1">
      <alignment horizontal="left" shrinkToFit="0" vertical="bottom" wrapText="0"/>
    </xf>
    <xf borderId="33" fillId="10" fontId="30" numFmtId="0" xfId="0" applyAlignment="1" applyBorder="1" applyFont="1">
      <alignment horizontal="left" shrinkToFit="0" vertical="bottom" wrapText="0"/>
    </xf>
    <xf borderId="27" fillId="10" fontId="30" numFmtId="0" xfId="0" applyAlignment="1" applyBorder="1" applyFont="1">
      <alignment horizontal="left" shrinkToFit="0" vertical="bottom" wrapText="0"/>
    </xf>
    <xf borderId="26" fillId="10" fontId="3" numFmtId="1" xfId="0" applyAlignment="1" applyBorder="1" applyFont="1" applyNumberFormat="1">
      <alignment shrinkToFit="0" vertical="bottom" wrapText="0"/>
    </xf>
    <xf borderId="26" fillId="7" fontId="3" numFmtId="1" xfId="0" applyAlignment="1" applyBorder="1" applyFont="1" applyNumberFormat="1">
      <alignment horizontal="center" shrinkToFit="0" vertical="bottom" wrapText="0"/>
    </xf>
    <xf borderId="1" fillId="0" fontId="2" numFmtId="0" xfId="0" applyAlignment="1" applyBorder="1" applyFont="1">
      <alignment horizontal="center" shrinkToFit="0" vertical="bottom" wrapText="0"/>
    </xf>
    <xf borderId="27" fillId="7" fontId="23" numFmtId="0" xfId="0" applyAlignment="1" applyBorder="1" applyFont="1">
      <alignment horizontal="center" shrinkToFit="0" vertical="bottom" wrapText="0"/>
    </xf>
    <xf borderId="34" fillId="10" fontId="10" numFmtId="0" xfId="0" applyAlignment="1" applyBorder="1" applyFont="1">
      <alignment horizontal="center" shrinkToFit="0" vertical="bottom" wrapText="0"/>
    </xf>
    <xf borderId="35" fillId="0" fontId="4" numFmtId="0" xfId="0" applyBorder="1" applyFont="1"/>
    <xf borderId="36" fillId="0" fontId="4" numFmtId="0" xfId="0" applyBorder="1" applyFont="1"/>
    <xf borderId="37" fillId="7" fontId="10" numFmtId="0" xfId="0" applyAlignment="1" applyBorder="1" applyFont="1">
      <alignment horizontal="center" shrinkToFit="0" vertical="bottom" wrapText="0"/>
    </xf>
    <xf borderId="1" fillId="0" fontId="3" numFmtId="1" xfId="0" applyAlignment="1" applyBorder="1" applyFont="1" applyNumberFormat="1">
      <alignment horizontal="center" shrinkToFit="0" vertical="bottom" wrapText="0"/>
    </xf>
    <xf borderId="27" fillId="7" fontId="3" numFmtId="1" xfId="0" applyAlignment="1" applyBorder="1" applyFont="1" applyNumberFormat="1">
      <alignment horizontal="center" shrinkToFit="0" vertical="bottom" wrapText="0"/>
    </xf>
    <xf borderId="34" fillId="10" fontId="3" numFmtId="1" xfId="0" applyAlignment="1" applyBorder="1" applyFont="1" applyNumberFormat="1">
      <alignment horizontal="center" shrinkToFit="0" vertical="bottom" wrapText="0"/>
    </xf>
    <xf borderId="26" fillId="7" fontId="10" numFmtId="1" xfId="0" applyAlignment="1" applyBorder="1" applyFont="1" applyNumberFormat="1">
      <alignment horizontal="center" shrinkToFit="0" vertical="bottom" wrapText="0"/>
    </xf>
    <xf borderId="20" fillId="10" fontId="3" numFmtId="0" xfId="0" applyAlignment="1" applyBorder="1" applyFont="1">
      <alignment shrinkToFit="0" vertical="bottom" wrapText="0"/>
    </xf>
    <xf borderId="38" fillId="7" fontId="10" numFmtId="0" xfId="0" applyAlignment="1" applyBorder="1" applyFont="1">
      <alignment horizontal="center" shrinkToFit="0" vertical="bottom" wrapText="0"/>
    </xf>
    <xf borderId="39" fillId="10" fontId="10" numFmtId="0" xfId="0" applyAlignment="1" applyBorder="1" applyFont="1">
      <alignment horizontal="center" shrinkToFit="0" vertical="bottom" wrapText="0"/>
    </xf>
    <xf borderId="40" fillId="0" fontId="4" numFmtId="0" xfId="0" applyBorder="1" applyFont="1"/>
    <xf borderId="41" fillId="0" fontId="4" numFmtId="0" xfId="0" applyBorder="1" applyFont="1"/>
    <xf borderId="28" fillId="10" fontId="3" numFmtId="1" xfId="0" applyAlignment="1" applyBorder="1" applyFont="1" applyNumberFormat="1">
      <alignment horizontal="center" shrinkToFit="0" vertical="bottom" wrapText="0"/>
    </xf>
    <xf borderId="33" fillId="10" fontId="3" numFmtId="1" xfId="0" applyAlignment="1" applyBorder="1" applyFont="1" applyNumberFormat="1">
      <alignment horizontal="center" shrinkToFit="0" vertical="bottom" wrapText="0"/>
    </xf>
    <xf borderId="27" fillId="10" fontId="3" numFmtId="1" xfId="0" applyAlignment="1" applyBorder="1" applyFont="1" applyNumberFormat="1">
      <alignment horizontal="center" shrinkToFit="0" vertical="bottom" wrapText="0"/>
    </xf>
    <xf borderId="20" fillId="10" fontId="30" numFmtId="0" xfId="0" applyAlignment="1" applyBorder="1" applyFont="1">
      <alignment shrinkToFit="0" vertical="bottom" wrapText="0"/>
    </xf>
    <xf borderId="20" fillId="10" fontId="3" numFmtId="1" xfId="0" applyAlignment="1" applyBorder="1" applyFont="1" applyNumberFormat="1">
      <alignment shrinkToFit="0" vertical="bottom" wrapText="0"/>
    </xf>
    <xf borderId="38" fillId="7" fontId="10" numFmtId="1" xfId="0" applyAlignment="1" applyBorder="1" applyFont="1" applyNumberFormat="1">
      <alignment horizontal="center" shrinkToFit="0" vertical="bottom" wrapText="0"/>
    </xf>
    <xf borderId="34" fillId="10" fontId="10" numFmtId="1" xfId="0" applyAlignment="1" applyBorder="1" applyFont="1" applyNumberFormat="1">
      <alignment horizontal="center" shrinkToFit="0" vertical="bottom" wrapText="0"/>
    </xf>
    <xf borderId="20" fillId="10" fontId="10" numFmtId="0" xfId="0" applyAlignment="1" applyBorder="1" applyFont="1">
      <alignment shrinkToFit="0" vertical="bottom" wrapText="0"/>
    </xf>
    <xf borderId="42" fillId="7" fontId="10" numFmtId="0" xfId="0" applyAlignment="1" applyBorder="1" applyFont="1">
      <alignment horizontal="center" shrinkToFit="0" vertical="bottom" wrapText="0"/>
    </xf>
    <xf borderId="8" fillId="0" fontId="3" numFmtId="0" xfId="0" applyAlignment="1" applyBorder="1" applyFont="1">
      <alignment horizontal="center" shrinkToFit="0" vertical="bottom" wrapText="0"/>
    </xf>
    <xf borderId="43" fillId="7" fontId="10" numFmtId="0" xfId="0" applyAlignment="1" applyBorder="1" applyFont="1">
      <alignment horizontal="center" shrinkToFit="0" vertical="bottom" wrapText="0"/>
    </xf>
    <xf borderId="28" fillId="7" fontId="10" numFmtId="1" xfId="0" applyAlignment="1" applyBorder="1" applyFont="1" applyNumberFormat="1">
      <alignment horizontal="center" shrinkToFit="0" vertical="bottom" wrapText="0"/>
    </xf>
    <xf borderId="8" fillId="0" fontId="3" numFmtId="1" xfId="0" applyAlignment="1" applyBorder="1" applyFont="1" applyNumberFormat="1">
      <alignment horizontal="center" shrinkToFit="0" vertical="bottom" wrapText="0"/>
    </xf>
    <xf borderId="44" fillId="7" fontId="10" numFmtId="1" xfId="0" applyAlignment="1" applyBorder="1" applyFont="1" applyNumberFormat="1">
      <alignment horizontal="center" shrinkToFit="0" vertical="bottom" wrapText="0"/>
    </xf>
    <xf borderId="20" fillId="6" fontId="3" numFmtId="0" xfId="0" applyAlignment="1" applyBorder="1" applyFont="1">
      <alignment shrinkToFit="0" vertical="bottom" wrapText="0"/>
    </xf>
    <xf borderId="45" fillId="10" fontId="10" numFmtId="0" xfId="0" applyAlignment="1" applyBorder="1" applyFont="1">
      <alignment horizontal="center" shrinkToFit="0" vertical="bottom" wrapText="0"/>
    </xf>
    <xf borderId="46" fillId="0" fontId="4" numFmtId="0" xfId="0" applyBorder="1" applyFont="1"/>
    <xf borderId="47" fillId="0" fontId="4" numFmtId="0" xfId="0" applyBorder="1" applyFont="1"/>
    <xf borderId="20" fillId="7" fontId="10" numFmtId="0" xfId="0" applyAlignment="1" applyBorder="1" applyFont="1">
      <alignment horizontal="center" shrinkToFit="0" vertical="bottom" wrapText="0"/>
    </xf>
    <xf borderId="8" fillId="10" fontId="10" numFmtId="1" xfId="0" applyAlignment="1" applyBorder="1" applyFont="1" applyNumberFormat="1">
      <alignment horizontal="center" shrinkToFit="0" vertical="bottom" wrapText="0"/>
    </xf>
    <xf borderId="48" fillId="0" fontId="4" numFmtId="0" xfId="0" applyBorder="1" applyFont="1"/>
    <xf borderId="49" fillId="7" fontId="10" numFmtId="1" xfId="0" applyAlignment="1" applyBorder="1" applyFont="1" applyNumberFormat="1">
      <alignment horizontal="center" shrinkToFit="0" vertical="bottom" wrapText="0"/>
    </xf>
    <xf borderId="33" fillId="7" fontId="10" numFmtId="1" xfId="0" applyAlignment="1" applyBorder="1" applyFont="1" applyNumberFormat="1">
      <alignment horizontal="center" shrinkToFit="0" vertical="bottom" wrapText="0"/>
    </xf>
    <xf borderId="0" fillId="0" fontId="10" numFmtId="1" xfId="0" applyAlignment="1" applyFont="1" applyNumberFormat="1">
      <alignment horizontal="center" shrinkToFit="0" vertical="bottom" wrapText="0"/>
    </xf>
    <xf borderId="20" fillId="7" fontId="15" numFmtId="0" xfId="0" applyAlignment="1" applyBorder="1" applyFont="1">
      <alignment horizontal="center" shrinkToFit="0" vertical="bottom" wrapText="0"/>
    </xf>
    <xf borderId="26" fillId="8" fontId="16" numFmtId="0" xfId="0" applyAlignment="1" applyBorder="1" applyFont="1">
      <alignment horizontal="center" shrinkToFit="0" vertical="bottom" wrapText="0"/>
    </xf>
    <xf borderId="20" fillId="8" fontId="15" numFmtId="1" xfId="0" applyAlignment="1" applyBorder="1" applyFont="1" applyNumberFormat="1">
      <alignment horizontal="center" shrinkToFit="0" vertical="bottom" wrapText="0"/>
    </xf>
    <xf borderId="20" fillId="8" fontId="20" numFmtId="1" xfId="0" applyAlignment="1" applyBorder="1" applyFont="1" applyNumberFormat="1">
      <alignment horizontal="center" shrinkToFit="0" vertical="bottom" wrapText="0"/>
    </xf>
    <xf borderId="20" fillId="8" fontId="15" numFmtId="0" xfId="0" applyAlignment="1" applyBorder="1" applyFont="1">
      <alignment horizontal="center" shrinkToFit="0" vertical="bottom" wrapText="0"/>
    </xf>
    <xf borderId="1" fillId="7" fontId="23" numFmtId="1" xfId="0" applyAlignment="1" applyBorder="1" applyFont="1" applyNumberFormat="1">
      <alignment shrinkToFit="0" vertical="bottom" wrapText="0"/>
    </xf>
    <xf borderId="20" fillId="8" fontId="20" numFmtId="0" xfId="0" applyAlignment="1" applyBorder="1" applyFont="1">
      <alignment horizontal="center" shrinkToFit="0" vertical="bottom" wrapText="0"/>
    </xf>
    <xf borderId="17" fillId="10" fontId="3" numFmtId="0" xfId="0" applyAlignment="1" applyBorder="1" applyFont="1">
      <alignment horizontal="center" shrinkToFit="0" vertical="bottom" wrapText="0"/>
    </xf>
    <xf borderId="20" fillId="10" fontId="3" numFmtId="1" xfId="0" applyAlignment="1" applyBorder="1" applyFont="1" applyNumberFormat="1">
      <alignment horizontal="center" shrinkToFit="0" vertical="bottom" wrapText="0"/>
    </xf>
    <xf borderId="17" fillId="10" fontId="31" numFmtId="1" xfId="0" applyAlignment="1" applyBorder="1" applyFont="1" applyNumberFormat="1">
      <alignment horizontal="center" shrinkToFit="0" vertical="bottom" wrapText="0"/>
    </xf>
    <xf borderId="17" fillId="10" fontId="32" numFmtId="1" xfId="0" applyAlignment="1" applyBorder="1" applyFont="1" applyNumberFormat="1">
      <alignment horizontal="center" shrinkToFit="0" vertical="bottom" wrapText="0"/>
    </xf>
    <xf borderId="17" fillId="10" fontId="32" numFmtId="0" xfId="0" applyAlignment="1" applyBorder="1" applyFont="1">
      <alignment horizontal="center" shrinkToFit="0" vertical="bottom" wrapText="0"/>
    </xf>
    <xf borderId="17" fillId="10" fontId="31" numFmtId="0" xfId="0" applyAlignment="1" applyBorder="1" applyFont="1">
      <alignment horizontal="center"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chartsheet" Target="chartsheets/sheet1.xml"/><Relationship Id="rId10" Type="http://schemas.openxmlformats.org/officeDocument/2006/relationships/worksheet" Target="worksheets/sheet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339966"/>
                </a:solidFill>
                <a:latin typeface="+mn-lt"/>
              </a:defRPr>
            </a:pPr>
            <a:r>
              <a:rPr b="1" i="0" sz="1600">
                <a:solidFill>
                  <a:srgbClr val="339966"/>
                </a:solidFill>
                <a:latin typeface="+mn-lt"/>
              </a:rPr>
              <a:t>Perfil Gráfico de la Prueba de Inventario Emocional de Baron</a:t>
            </a:r>
          </a:p>
        </c:rich>
      </c:tx>
      <c:overlay val="0"/>
    </c:title>
    <c:plotArea>
      <c:layout/>
      <c:barChart>
        <c:barDir val="bar"/>
        <c:ser>
          <c:idx val="0"/>
          <c:order val="0"/>
          <c:spPr>
            <a:solidFill>
              <a:srgbClr val="9999FF"/>
            </a:solidFill>
            <a:ln cmpd="sng">
              <a:solidFill>
                <a:srgbClr val="000000"/>
              </a:solidFill>
            </a:ln>
          </c:spPr>
          <c:cat>
            <c:strRef>
              <c:f>Resultados!$C$11:$C$31</c:f>
            </c:strRef>
          </c:cat>
          <c:val>
            <c:numRef>
              <c:f>Resultados!$D$11:$D$31</c:f>
              <c:numCache/>
            </c:numRef>
          </c:val>
        </c:ser>
        <c:ser>
          <c:idx val="1"/>
          <c:order val="1"/>
          <c:cat>
            <c:strRef>
              <c:f>Resultados!$C$11:$C$31</c:f>
            </c:strRef>
          </c:cat>
          <c:val>
            <c:numRef>
              <c:f>Resultados!$E$11:$E$31</c:f>
              <c:numCache/>
            </c:numRef>
          </c:val>
        </c:ser>
        <c:ser>
          <c:idx val="2"/>
          <c:order val="2"/>
          <c:cat>
            <c:strRef>
              <c:f>Resultados!$C$11:$C$31</c:f>
            </c:strRef>
          </c:cat>
          <c:val>
            <c:numRef>
              <c:f>Resultados!$F$11:$F$31</c:f>
              <c:numCache/>
            </c:numRef>
          </c:val>
        </c:ser>
        <c:axId val="773964819"/>
        <c:axId val="1247706373"/>
      </c:barChart>
      <c:catAx>
        <c:axId val="77396481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47706373"/>
      </c:catAx>
      <c:valAx>
        <c:axId val="1247706373"/>
        <c:scaling>
          <c:orientation val="minMax"/>
          <c:max val="145.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3964819"/>
        <c:crosses val="max"/>
      </c:valAx>
    </c:plotArea>
  </c:chart>
  <c:spPr>
    <a:solidFill>
      <a:srgbClr val="9999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100">
                <a:solidFill>
                  <a:srgbClr val="DD0806"/>
                </a:solidFill>
                <a:latin typeface="+mn-lt"/>
              </a:defRPr>
            </a:pPr>
            <a:r>
              <a:rPr b="1" i="0" sz="2100">
                <a:solidFill>
                  <a:srgbClr val="DD0806"/>
                </a:solidFill>
                <a:latin typeface="+mn-lt"/>
              </a:rPr>
              <a:t>Inteligencia Emocional (ICE)</a:t>
            </a:r>
          </a:p>
        </c:rich>
      </c:tx>
      <c:overlay val="0"/>
    </c:title>
    <c:plotArea>
      <c:layout/>
      <c:barChart>
        <c:barDir val="bar"/>
        <c:ser>
          <c:idx val="0"/>
          <c:order val="0"/>
          <c:spPr>
            <a:solidFill>
              <a:srgbClr val="FFFFFF"/>
            </a:solidFill>
            <a:ln cmpd="sng">
              <a:solidFill>
                <a:srgbClr val="000000"/>
              </a:solidFill>
            </a:ln>
          </c:spPr>
          <c:val>
            <c:numRef>
              <c:f>Resultados!$F$11:$F$14</c:f>
              <c:numCache/>
            </c:numRef>
          </c:val>
        </c:ser>
        <c:axId val="1099731079"/>
        <c:axId val="952878422"/>
      </c:barChart>
      <c:catAx>
        <c:axId val="10997310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2878422"/>
      </c:catAx>
      <c:valAx>
        <c:axId val="952878422"/>
        <c:scaling>
          <c:orientation val="minMax"/>
          <c:max val="145.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9731079"/>
        <c:crosses val="max"/>
      </c:valAx>
    </c:plotArea>
  </c:chart>
  <c:spPr>
    <a:solidFill>
      <a:srgbClr val="FFFFFF"/>
    </a:solidFill>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descr="Chart 0" id="1136710541" name="Chart 1"/>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476250</xdr:colOff>
      <xdr:row>62</xdr:row>
      <xdr:rowOff>133350</xdr:rowOff>
    </xdr:from>
    <xdr:ext cx="5048250" cy="7277100"/>
    <xdr:graphicFrame>
      <xdr:nvGraphicFramePr>
        <xdr:cNvPr descr="Chart 0" id="37935774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0"/>
  </cols>
  <sheetData>
    <row r="1" ht="12.0" customHeight="1"/>
    <row r="2" ht="15.75" customHeight="1">
      <c r="B2" s="1" t="s">
        <v>0</v>
      </c>
      <c r="F2" s="2">
        <f>SUM(B5+B8+B11+B14+B17)</f>
        <v>104</v>
      </c>
    </row>
    <row r="3" ht="12.0" customHeight="1"/>
    <row r="4" ht="12.0" customHeight="1">
      <c r="B4" s="3" t="s">
        <v>1</v>
      </c>
      <c r="C4" s="4"/>
      <c r="D4" s="5"/>
    </row>
    <row r="5" ht="12.0" customHeight="1">
      <c r="A5" s="6"/>
      <c r="B5" s="7">
        <f>SUM('Plantilla de Correción'!C9+'Plantilla de Correción'!C11+'Plantilla de Correción'!C25+'Plantilla de Correción'!C37+'Plantilla de Correción'!C54+'Plantilla de Correción'!F10+'Plantilla de Correción'!F35+'Plantilla de Correción'!I8)</f>
        <v>31</v>
      </c>
      <c r="C5" s="8"/>
      <c r="D5" s="9"/>
    </row>
    <row r="6" ht="12.0" customHeight="1">
      <c r="B6" s="10"/>
      <c r="C6" s="10"/>
      <c r="D6" s="10"/>
    </row>
    <row r="7" ht="12.0" customHeight="1">
      <c r="B7" s="3" t="s">
        <v>2</v>
      </c>
      <c r="C7" s="4"/>
      <c r="D7" s="5"/>
    </row>
    <row r="8" ht="12.0" customHeight="1">
      <c r="B8" s="7">
        <f>SUM('Plantilla de Correción'!C24+'Plantilla de Correción'!C39+'Plantilla de Correción'!F14+'Plantilla de Correción'!F29+'Plantilla de Correción'!F43+'Plantilla de Correción'!I3+'Plantilla de Correción'!I18)</f>
        <v>24</v>
      </c>
      <c r="C8" s="8"/>
      <c r="D8" s="9"/>
    </row>
    <row r="9" ht="12.0" customHeight="1">
      <c r="B9" s="10"/>
      <c r="C9" s="10"/>
      <c r="D9" s="10"/>
    </row>
    <row r="10" ht="12.0" customHeight="1">
      <c r="B10" s="3" t="s">
        <v>3</v>
      </c>
      <c r="C10" s="4"/>
      <c r="D10" s="5"/>
    </row>
    <row r="11" ht="12.0" customHeight="1">
      <c r="B11" s="7">
        <f>SUM('Plantilla de Correción'!C13+'Plantilla de Correción'!C26+'Plantilla de Correción'!C42+'Plantilla de Correción'!F3+'Plantilla de Correción'!F17+'Plantilla de Correción'!F32+'Plantilla de Correción'!F47+'Plantilla de Correción'!I6+'Plantilla de Correción'!I21)</f>
        <v>9</v>
      </c>
      <c r="C11" s="8"/>
      <c r="D11" s="9"/>
    </row>
    <row r="12" ht="12.0" customHeight="1">
      <c r="B12" s="10"/>
      <c r="C12" s="10"/>
      <c r="D12" s="10"/>
    </row>
    <row r="13" ht="12.0" customHeight="1">
      <c r="B13" s="3" t="s">
        <v>4</v>
      </c>
      <c r="C13" s="4"/>
      <c r="D13" s="5"/>
    </row>
    <row r="14" ht="12.0" customHeight="1">
      <c r="B14" s="7">
        <f>SUM('Plantilla de Correción'!C8+'Plantilla de Correción'!C23+'Plantilla de Correción'!C38+'Plantilla de Correción'!C53+'Plantilla de Correción'!F13+'Plantilla de Correción'!F42+'Plantilla de Correción'!F57+'Plantilla de Correción'!F28+'Plantilla de Correción'!I17)</f>
        <v>26</v>
      </c>
      <c r="C14" s="8"/>
      <c r="D14" s="9"/>
    </row>
    <row r="15" ht="12.0" customHeight="1"/>
    <row r="16" ht="12.0" customHeight="1">
      <c r="B16" s="3" t="s">
        <v>5</v>
      </c>
      <c r="C16" s="4"/>
      <c r="D16" s="5"/>
    </row>
    <row r="17" ht="12.0" customHeight="1">
      <c r="B17" s="7">
        <f>SUM('Plantilla de Correción'!C5+'Plantilla de Correción'!C21+'Plantilla de Correción'!C34+'Plantilla de Correción'!C50+'Plantilla de Correción'!F39+'Plantilla de Correción'!F54+'Plantilla de Correción'!I13)</f>
        <v>14</v>
      </c>
      <c r="C17" s="8"/>
      <c r="D17" s="9"/>
    </row>
    <row r="18" ht="12.0" customHeight="1"/>
    <row r="19" ht="15.0" customHeight="1">
      <c r="B19" s="11" t="s">
        <v>6</v>
      </c>
      <c r="F19" s="12">
        <f>SUM(B22+B25+B28)</f>
        <v>74</v>
      </c>
      <c r="G19" s="2">
        <f>SUM((F19)-('Plantilla de Correción'!J57+Resultados!J11+Resultados!J22+Resultados!J48+'Plantilla de Correción'!J121))</f>
        <v>74</v>
      </c>
    </row>
    <row r="20" ht="12.0" customHeight="1"/>
    <row r="21" ht="12.0" customHeight="1">
      <c r="B21" s="3" t="s">
        <v>7</v>
      </c>
      <c r="C21" s="4"/>
      <c r="D21" s="5"/>
    </row>
    <row r="22" ht="12.0" customHeight="1">
      <c r="B22" s="7">
        <f>SUM('Plantilla de Correción'!C12+'Plantilla de Correción'!C25+'Plantilla de Correción'!C33+'Plantilla de Correción'!C41+'Plantilla de Correción'!C57+'Plantilla de Correción'!F9+'Plantilla de Correción'!F16+'Plantilla de Correción'!F31+'Plantilla de Correción'!F46+'Plantilla de Correción'!I5+'Plantilla de Correción'!I20)</f>
        <v>35</v>
      </c>
      <c r="C22" s="8"/>
      <c r="D22" s="9"/>
    </row>
    <row r="23" ht="12.0" customHeight="1"/>
    <row r="24" ht="12.0" customHeight="1">
      <c r="B24" s="3" t="s">
        <v>8</v>
      </c>
      <c r="C24" s="4"/>
      <c r="D24" s="5"/>
    </row>
    <row r="25" ht="12.0" customHeight="1">
      <c r="B25" s="7">
        <f>SUM('Plantilla de Correción'!C18+'Plantilla de Correción'!C32+'Plantilla de Correción'!C48+'Plantilla de Correción'!F8+'Plantilla de Correción'!F19+'Plantilla de Correción'!F23+'Plantilla de Correción'!F37+'Plantilla de Correción'!F45+'Plantilla de Correción'!F51+'Plantilla de Correción'!I11)</f>
        <v>22</v>
      </c>
      <c r="C25" s="8"/>
      <c r="D25" s="9"/>
    </row>
    <row r="26" ht="12.0" customHeight="1"/>
    <row r="27" ht="12.0" customHeight="1">
      <c r="B27" s="3" t="s">
        <v>9</v>
      </c>
      <c r="C27" s="4"/>
      <c r="D27" s="5"/>
    </row>
    <row r="28" ht="12.0" customHeight="1">
      <c r="B28" s="7">
        <f>SUM('Plantilla de Correción'!C20+'Plantilla de Correción'!C46+'Plantilla de Correción'!C57+'Plantilla de Correción'!F8+'Plantilla de Correción'!F19+'Plantilla de Correción'!F45+'Plantilla de Correción'!I11+'Plantilla de Correción'!I16)</f>
        <v>17</v>
      </c>
      <c r="C28" s="8"/>
      <c r="D28" s="9"/>
    </row>
    <row r="29" ht="12.0" customHeight="1"/>
    <row r="30" ht="15.0" customHeight="1">
      <c r="B30" s="11" t="s">
        <v>10</v>
      </c>
      <c r="F30" s="2">
        <f>SUM(B36+B39+B33)</f>
        <v>58</v>
      </c>
    </row>
    <row r="31" ht="12.0" customHeight="1"/>
    <row r="32" ht="12.0" customHeight="1">
      <c r="B32" s="3" t="s">
        <v>11</v>
      </c>
      <c r="C32" s="4"/>
      <c r="D32" s="5"/>
    </row>
    <row r="33" ht="12.0" customHeight="1">
      <c r="B33" s="7">
        <f>SUM('Plantilla de Correción'!C3+'Plantilla de Correción'!C17+'Plantilla de Correción'!C31+'Plantilla de Correción'!C47+'Plantilla de Correción'!F7+'Plantilla de Correción'!F22+'Plantilla de Correción'!F36+'Plantilla de Correción'!I10)</f>
        <v>16</v>
      </c>
      <c r="C33" s="8"/>
      <c r="D33" s="9"/>
    </row>
    <row r="34" ht="12.0" customHeight="1"/>
    <row r="35" ht="12.0" customHeight="1">
      <c r="B35" s="3" t="s">
        <v>12</v>
      </c>
      <c r="C35" s="4"/>
      <c r="D35" s="5"/>
    </row>
    <row r="36" ht="12.0" customHeight="1">
      <c r="B36" s="7">
        <f>SUM('Plantilla de Correción'!C10+'Plantilla de Correción'!C37+'Plantilla de Correción'!C40+'Plantilla de Correción'!C55+'Plantilla de Correción'!F15+'Plantilla de Correción'!F30+'Plantilla de Correción'!F35+'Plantilla de Correción'!F44+'Plantilla de Correción'!I4+'Plantilla de Correción'!I19)</f>
        <v>26</v>
      </c>
      <c r="C36" s="8"/>
      <c r="D36" s="9"/>
    </row>
    <row r="37" ht="12.0" customHeight="1"/>
    <row r="38" ht="12.0" customHeight="1">
      <c r="B38" s="3" t="s">
        <v>13</v>
      </c>
      <c r="C38" s="4"/>
      <c r="D38" s="5"/>
    </row>
    <row r="39" ht="12.0" customHeight="1">
      <c r="B39" s="7">
        <f>SUM('Plantilla de Correción'!C16+'Plantilla de Correción'!C30+'Plantilla de Correción'!C45+'Plantilla de Correción'!F6+'Plantilla de Correción'!F21+'Plantilla de Correción'!F34+'Plantilla de Correción'!F50+'Plantilla de Correción'!I23)</f>
        <v>16</v>
      </c>
      <c r="C39" s="8"/>
      <c r="D39" s="9"/>
    </row>
    <row r="40" ht="12.0" customHeight="1"/>
    <row r="41" ht="15.0" customHeight="1">
      <c r="B41" s="11" t="s">
        <v>14</v>
      </c>
      <c r="F41" s="2">
        <f>SUM(B44+B47)</f>
        <v>29</v>
      </c>
    </row>
    <row r="42" ht="12.0" customHeight="1"/>
    <row r="43" ht="12.0" customHeight="1">
      <c r="B43" s="3" t="s">
        <v>15</v>
      </c>
      <c r="C43" s="4"/>
      <c r="D43" s="5"/>
    </row>
    <row r="44" ht="12.0" customHeight="1">
      <c r="B44" s="7">
        <f>SUM('Plantilla de Correción'!C6+'Plantilla de Correción'!C22+'Plantilla de Correción'!C35+'Plantilla de Correción'!C51+'Plantilla de Correción'!F11+'Plantilla de Correción'!F25+'Plantilla de Correción'!F40+'Plantilla de Correción'!F55+'Plantilla de Correción'!I14)</f>
        <v>16</v>
      </c>
      <c r="C44" s="8"/>
      <c r="D44" s="9"/>
    </row>
    <row r="45" ht="12.0" customHeight="1"/>
    <row r="46" ht="12.0" customHeight="1">
      <c r="B46" s="3" t="s">
        <v>16</v>
      </c>
      <c r="C46" s="4"/>
      <c r="D46" s="5"/>
    </row>
    <row r="47" ht="12.0" customHeight="1">
      <c r="B47" s="7">
        <f>SUM('Plantilla de Correción'!C15+'Plantilla de Correción'!C29+'Plantilla de Correción'!C44+'Plantilla de Correción'!F5+'Plantilla de Correción'!F20+'Plantilla de Correción'!F33+'Plantilla de Correción'!F49+'Plantilla de Correción'!I9+'Plantilla de Correción'!I22)</f>
        <v>13</v>
      </c>
      <c r="C47" s="8"/>
      <c r="D47" s="9"/>
    </row>
    <row r="48" ht="12.0" customHeight="1"/>
    <row r="49" ht="15.0" customHeight="1">
      <c r="B49" s="11" t="s">
        <v>17</v>
      </c>
      <c r="F49" s="2">
        <f>SUM(B52+B55)</f>
        <v>42</v>
      </c>
    </row>
    <row r="50" ht="12.0" customHeight="1"/>
    <row r="51" ht="15.0" customHeight="1">
      <c r="B51" s="3" t="s">
        <v>18</v>
      </c>
      <c r="C51" s="4"/>
      <c r="D51" s="5"/>
      <c r="G51" s="11" t="s">
        <v>19</v>
      </c>
      <c r="H51" s="11"/>
      <c r="I51" s="11"/>
    </row>
    <row r="52" ht="12.0" customHeight="1">
      <c r="B52" s="7">
        <f>SUM('Plantilla de Correción'!C4+'Plantilla de Correción'!C19+'Plantilla de Correción'!C33+'Plantilla de Correción'!C49+'Plantilla de Correción'!F9+'Plantilla de Correción'!F24+'Plantilla de Correción'!F38+'Plantilla de Correción'!F52+'Plantilla de Correción'!I12)</f>
        <v>24</v>
      </c>
      <c r="C52" s="8"/>
      <c r="D52" s="9"/>
    </row>
    <row r="53" ht="12.0" customHeight="1">
      <c r="G53" s="3" t="s">
        <v>20</v>
      </c>
      <c r="H53" s="4"/>
      <c r="I53" s="5"/>
    </row>
    <row r="54" ht="12.0" customHeight="1">
      <c r="B54" s="3" t="s">
        <v>21</v>
      </c>
      <c r="C54" s="4"/>
      <c r="D54" s="5"/>
      <c r="G54" s="7">
        <f>SUM('Plantilla de Correción'!C7+'Plantilla de Correción'!C36+'Plantilla de Correción'!C52+'Plantilla de Correción'!F12+'Plantilla de Correción'!F26+'Plantilla de Correción'!F41+'Plantilla de Correción'!F56+'Plantilla de Correción'!I15)</f>
        <v>15</v>
      </c>
      <c r="H54" s="8"/>
      <c r="I54" s="9"/>
    </row>
    <row r="55" ht="12.0" customHeight="1">
      <c r="B55" s="7">
        <f>SUM('Plantilla de Correción'!C13+'Plantilla de Correción'!C22+'Plantilla de Correción'!C28+'Plantilla de Correción'!C56+'Plantilla de Correción'!F27+'Plantilla de Correción'!F53+'Plantilla de Correción'!F55+'Plantilla de Correción'!I24)</f>
        <v>18</v>
      </c>
      <c r="C55" s="8"/>
      <c r="D55" s="9"/>
    </row>
    <row r="56" ht="12.0" customHeight="1">
      <c r="G56" s="3" t="s">
        <v>22</v>
      </c>
      <c r="H56" s="4"/>
      <c r="I56" s="5"/>
    </row>
    <row r="57" ht="12.0" customHeight="1">
      <c r="G57" s="7">
        <f>SUM('Plantilla de Correción'!C14+'Plantilla de Correción'!C27+'Plantilla de Correción'!C43+'Plantilla de Correción'!F4+'Plantilla de Correción'!F18+'Plantilla de Correción'!F48+'Plantilla de Correción'!I7)</f>
        <v>33</v>
      </c>
      <c r="H57" s="8"/>
      <c r="I57" s="9"/>
    </row>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9">
    <mergeCell ref="B2:D2"/>
    <mergeCell ref="B4:D4"/>
    <mergeCell ref="B5:D5"/>
    <mergeCell ref="B7:D7"/>
    <mergeCell ref="B8:D8"/>
    <mergeCell ref="B10:D10"/>
    <mergeCell ref="B11:D11"/>
    <mergeCell ref="B13:D13"/>
    <mergeCell ref="B14:D14"/>
    <mergeCell ref="B16:D16"/>
    <mergeCell ref="B17:D17"/>
    <mergeCell ref="B19:D19"/>
    <mergeCell ref="B21:D21"/>
    <mergeCell ref="B22:D22"/>
    <mergeCell ref="B24:D24"/>
    <mergeCell ref="B25:D25"/>
    <mergeCell ref="B27:D27"/>
    <mergeCell ref="B28:D28"/>
    <mergeCell ref="B30:D30"/>
    <mergeCell ref="B32:D32"/>
    <mergeCell ref="B33:D33"/>
    <mergeCell ref="B35:D35"/>
    <mergeCell ref="B36:D36"/>
    <mergeCell ref="B38:D38"/>
    <mergeCell ref="B39:D39"/>
    <mergeCell ref="B41:D41"/>
    <mergeCell ref="B43:D43"/>
    <mergeCell ref="B44:D44"/>
    <mergeCell ref="B54:D54"/>
    <mergeCell ref="B55:D55"/>
    <mergeCell ref="G56:I56"/>
    <mergeCell ref="G57:I57"/>
    <mergeCell ref="B46:D46"/>
    <mergeCell ref="B47:D47"/>
    <mergeCell ref="B49:D49"/>
    <mergeCell ref="B51:D51"/>
    <mergeCell ref="B52:D52"/>
    <mergeCell ref="G53:I53"/>
    <mergeCell ref="G54:I5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0"/>
  </cols>
  <sheetData>
    <row r="1" ht="12.0" customHeight="1"/>
    <row r="2" ht="12.0" customHeight="1"/>
    <row r="3" ht="12.0" customHeight="1"/>
    <row r="4" ht="12.0" customHeight="1"/>
    <row r="5" ht="12.0" customHeight="1"/>
    <row r="6" ht="12.0" customHeight="1">
      <c r="E6" s="13" t="s">
        <v>23</v>
      </c>
      <c r="F6" s="14"/>
      <c r="G6" s="14"/>
      <c r="H6" s="15"/>
      <c r="I6" s="16"/>
      <c r="J6" s="17">
        <f>Hoja3!K4</f>
        <v>41.69533907</v>
      </c>
    </row>
    <row r="7" ht="12.0" customHeight="1">
      <c r="E7" s="18" t="s">
        <v>24</v>
      </c>
      <c r="F7" s="14"/>
      <c r="G7" s="14"/>
      <c r="H7" s="15"/>
      <c r="I7" s="16"/>
      <c r="J7" s="19">
        <f>Hoja3!G2</f>
        <v>61.38251099</v>
      </c>
    </row>
    <row r="8" ht="12.0" customHeight="1">
      <c r="E8" s="20" t="s">
        <v>25</v>
      </c>
      <c r="F8" s="14"/>
      <c r="G8" s="14"/>
      <c r="H8" s="15"/>
      <c r="I8" s="21"/>
      <c r="J8" s="22">
        <f>Hoja3!G5</f>
        <v>103.4375</v>
      </c>
    </row>
    <row r="9" ht="12.0" customHeight="1">
      <c r="E9" s="20" t="s">
        <v>26</v>
      </c>
      <c r="F9" s="14"/>
      <c r="G9" s="14"/>
      <c r="H9" s="15"/>
      <c r="I9" s="21"/>
      <c r="J9" s="22">
        <f>Hoja3!G8</f>
        <v>94.1416309</v>
      </c>
    </row>
    <row r="10" ht="12.0" customHeight="1">
      <c r="E10" s="20" t="s">
        <v>27</v>
      </c>
      <c r="F10" s="14"/>
      <c r="G10" s="14"/>
      <c r="H10" s="15"/>
      <c r="I10" s="21"/>
      <c r="J10" s="22">
        <f>Hoja3!G11</f>
        <v>36.23809524</v>
      </c>
    </row>
    <row r="11" ht="12.0" customHeight="1">
      <c r="E11" s="20" t="s">
        <v>28</v>
      </c>
      <c r="F11" s="14"/>
      <c r="G11" s="14"/>
      <c r="H11" s="15"/>
      <c r="I11" s="21"/>
      <c r="J11" s="22">
        <f>Hoja3!G14</f>
        <v>65.32544379</v>
      </c>
    </row>
    <row r="12" ht="12.0" customHeight="1">
      <c r="E12" s="20" t="s">
        <v>29</v>
      </c>
      <c r="F12" s="14"/>
      <c r="G12" s="14"/>
      <c r="H12" s="15"/>
      <c r="I12" s="21"/>
      <c r="J12" s="22">
        <f>Hoja3!G17</f>
        <v>55.234375</v>
      </c>
    </row>
    <row r="13" ht="12.0" customHeight="1">
      <c r="E13" s="18" t="s">
        <v>6</v>
      </c>
      <c r="F13" s="14"/>
      <c r="G13" s="14"/>
      <c r="H13" s="15"/>
      <c r="I13" s="16"/>
      <c r="J13" s="19">
        <f>Hoja3!G19</f>
        <v>49.51152074</v>
      </c>
    </row>
    <row r="14" ht="12.0" customHeight="1">
      <c r="E14" s="20" t="s">
        <v>30</v>
      </c>
      <c r="F14" s="14"/>
      <c r="G14" s="14"/>
      <c r="H14" s="15"/>
      <c r="I14" s="21"/>
      <c r="J14" s="22">
        <f>Hoja3!G28</f>
        <v>40.89498807</v>
      </c>
    </row>
    <row r="15" ht="12.0" customHeight="1">
      <c r="E15" s="20" t="s">
        <v>31</v>
      </c>
      <c r="F15" s="14"/>
      <c r="G15" s="14"/>
      <c r="H15" s="15"/>
      <c r="I15" s="23"/>
      <c r="J15" s="22">
        <f>Hoja3!G22</f>
        <v>77.00166113</v>
      </c>
    </row>
    <row r="16" ht="12.0" customHeight="1">
      <c r="E16" s="20" t="s">
        <v>32</v>
      </c>
      <c r="F16" s="14"/>
      <c r="G16" s="14"/>
      <c r="H16" s="15"/>
      <c r="I16" s="21"/>
      <c r="J16" s="22">
        <f>Hoja3!G25</f>
        <v>35.28397566</v>
      </c>
    </row>
    <row r="17" ht="12.0" customHeight="1">
      <c r="E17" s="18" t="s">
        <v>10</v>
      </c>
      <c r="F17" s="14"/>
      <c r="G17" s="14"/>
      <c r="H17" s="15"/>
      <c r="I17" s="24"/>
      <c r="J17" s="19">
        <f>Hoja3!G30</f>
        <v>49.0529695</v>
      </c>
    </row>
    <row r="18" ht="12.0" customHeight="1">
      <c r="E18" s="20" t="s">
        <v>33</v>
      </c>
      <c r="F18" s="14"/>
      <c r="G18" s="14"/>
      <c r="H18" s="15"/>
      <c r="I18" s="21"/>
      <c r="J18" s="22">
        <f>Hoja3!G33</f>
        <v>48.51086957</v>
      </c>
    </row>
    <row r="19" ht="12.0" customHeight="1">
      <c r="E19" s="20" t="s">
        <v>34</v>
      </c>
      <c r="F19" s="14"/>
      <c r="G19" s="14"/>
      <c r="H19" s="15"/>
      <c r="I19" s="21"/>
      <c r="J19" s="22">
        <f>Hoja3!G36</f>
        <v>63.62903226</v>
      </c>
    </row>
    <row r="20" ht="12.0" customHeight="1">
      <c r="E20" s="20" t="s">
        <v>35</v>
      </c>
      <c r="F20" s="14"/>
      <c r="G20" s="14"/>
      <c r="H20" s="15"/>
      <c r="I20" s="21"/>
      <c r="J20" s="22">
        <f>Hoja3!G39</f>
        <v>60.0617284</v>
      </c>
    </row>
    <row r="21" ht="12.0" customHeight="1">
      <c r="E21" s="18" t="s">
        <v>36</v>
      </c>
      <c r="F21" s="14"/>
      <c r="G21" s="14"/>
      <c r="H21" s="15"/>
      <c r="I21" s="24"/>
      <c r="J21" s="19">
        <f>Hoja3!G41</f>
        <v>39.02173913</v>
      </c>
    </row>
    <row r="22" ht="12.0" customHeight="1">
      <c r="E22" s="20" t="s">
        <v>37</v>
      </c>
      <c r="F22" s="14"/>
      <c r="G22" s="14"/>
      <c r="H22" s="15"/>
      <c r="I22" s="21"/>
      <c r="J22" s="22">
        <f>Hoja3!G44</f>
        <v>53.03191489</v>
      </c>
    </row>
    <row r="23" ht="12.0" customHeight="1">
      <c r="E23" s="20" t="s">
        <v>38</v>
      </c>
      <c r="F23" s="14"/>
      <c r="G23" s="14"/>
      <c r="H23" s="15"/>
      <c r="I23" s="21"/>
      <c r="J23" s="22">
        <f>Hoja3!G47</f>
        <v>42.47779751</v>
      </c>
    </row>
    <row r="24" ht="12.0" customHeight="1">
      <c r="E24" s="18" t="s">
        <v>17</v>
      </c>
      <c r="F24" s="14"/>
      <c r="G24" s="14"/>
      <c r="H24" s="15"/>
      <c r="I24" s="24"/>
      <c r="J24" s="19">
        <f>Hoja3!G49</f>
        <v>51.08695652</v>
      </c>
    </row>
    <row r="25" ht="12.0" customHeight="1">
      <c r="E25" s="20" t="s">
        <v>39</v>
      </c>
      <c r="F25" s="14"/>
      <c r="G25" s="14"/>
      <c r="H25" s="15"/>
      <c r="I25" s="21"/>
      <c r="J25" s="22">
        <f>Hoja3!G52</f>
        <v>60.58479532</v>
      </c>
    </row>
    <row r="26" ht="12.0" customHeight="1">
      <c r="E26" s="20" t="s">
        <v>40</v>
      </c>
      <c r="F26" s="14"/>
      <c r="G26" s="14"/>
      <c r="H26" s="15"/>
      <c r="I26" s="21"/>
      <c r="J26" s="22">
        <f>Hoja3!G55</f>
        <v>49.61883408</v>
      </c>
    </row>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c r="A51" s="25"/>
      <c r="B51" s="25"/>
    </row>
    <row r="52" ht="12.0" customHeight="1">
      <c r="A52" s="26"/>
      <c r="B52" s="26"/>
    </row>
    <row r="53" ht="12.0" customHeight="1">
      <c r="A53" s="10"/>
      <c r="B53" s="10"/>
    </row>
    <row r="54" ht="12.0" customHeight="1">
      <c r="A54" s="25"/>
      <c r="B54" s="25"/>
    </row>
    <row r="55" ht="12.0" customHeight="1">
      <c r="A55" s="26"/>
      <c r="B55" s="26"/>
    </row>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1">
    <mergeCell ref="E6:H6"/>
    <mergeCell ref="E7:H7"/>
    <mergeCell ref="E8:H8"/>
    <mergeCell ref="E9:H9"/>
    <mergeCell ref="E10:H10"/>
    <mergeCell ref="E11:H11"/>
    <mergeCell ref="E12:H12"/>
    <mergeCell ref="E20:H20"/>
    <mergeCell ref="E21:H21"/>
    <mergeCell ref="E22:H22"/>
    <mergeCell ref="E23:H23"/>
    <mergeCell ref="E24:H24"/>
    <mergeCell ref="E25:H25"/>
    <mergeCell ref="E26:H26"/>
    <mergeCell ref="E13:H13"/>
    <mergeCell ref="E14:H14"/>
    <mergeCell ref="E15:H15"/>
    <mergeCell ref="E16:H16"/>
    <mergeCell ref="E17:H17"/>
    <mergeCell ref="E18:H18"/>
    <mergeCell ref="E19:H1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0"/>
  </cols>
  <sheetData>
    <row r="1" ht="12.0" customHeight="1"/>
    <row r="2" ht="12.0" customHeight="1">
      <c r="B2" s="27" t="s">
        <v>41</v>
      </c>
    </row>
    <row r="3" ht="12.0" customHeight="1"/>
    <row r="4" ht="12.0" customHeight="1">
      <c r="B4" s="27" t="s">
        <v>42</v>
      </c>
    </row>
    <row r="5" ht="12.0" customHeight="1">
      <c r="B5" s="27" t="s">
        <v>43</v>
      </c>
      <c r="F5" s="27" t="s">
        <v>44</v>
      </c>
      <c r="G5" s="27" t="s">
        <v>45</v>
      </c>
    </row>
    <row r="6" ht="12.0" customHeight="1">
      <c r="B6" s="27" t="s">
        <v>46</v>
      </c>
      <c r="F6" s="27" t="s">
        <v>47</v>
      </c>
      <c r="G6" s="27" t="s">
        <v>48</v>
      </c>
    </row>
    <row r="7" ht="12.0" customHeight="1"/>
    <row r="8" ht="12.0" customHeight="1">
      <c r="B8" s="27" t="s">
        <v>49</v>
      </c>
      <c r="F8" s="28">
        <v>20.35</v>
      </c>
      <c r="G8" s="28">
        <v>5.3</v>
      </c>
    </row>
    <row r="9" ht="12.0" customHeight="1">
      <c r="B9" s="27" t="s">
        <v>50</v>
      </c>
      <c r="F9" s="28">
        <v>10.66</v>
      </c>
      <c r="G9" s="28">
        <v>4.26</v>
      </c>
    </row>
    <row r="10" ht="12.0" customHeight="1">
      <c r="B10" s="27" t="s">
        <v>51</v>
      </c>
      <c r="F10" s="28">
        <v>5.32</v>
      </c>
      <c r="G10" s="28">
        <v>2.89</v>
      </c>
    </row>
    <row r="11" ht="12.0" customHeight="1">
      <c r="F11" s="28"/>
      <c r="G11" s="28"/>
    </row>
    <row r="12" ht="12.0" customHeight="1">
      <c r="B12" s="27" t="s">
        <v>52</v>
      </c>
      <c r="F12" s="28">
        <v>465.31</v>
      </c>
      <c r="G12" s="28">
        <v>49.99</v>
      </c>
    </row>
    <row r="13" ht="12.0" customHeight="1">
      <c r="B13" s="27" t="s">
        <v>53</v>
      </c>
      <c r="F13" s="28">
        <v>156.7</v>
      </c>
      <c r="G13" s="28">
        <v>20.47</v>
      </c>
    </row>
    <row r="14" ht="12.0" customHeight="1">
      <c r="B14" s="27" t="s">
        <v>54</v>
      </c>
      <c r="F14" s="28">
        <v>99.52</v>
      </c>
      <c r="G14" s="28">
        <v>10.85</v>
      </c>
    </row>
    <row r="15" ht="12.0" customHeight="1">
      <c r="B15" s="27" t="s">
        <v>55</v>
      </c>
      <c r="F15" s="28">
        <v>100.32</v>
      </c>
      <c r="G15" s="28">
        <v>12.46</v>
      </c>
    </row>
    <row r="16" ht="12.0" customHeight="1">
      <c r="B16" s="27" t="s">
        <v>56</v>
      </c>
      <c r="F16" s="28">
        <v>68.27</v>
      </c>
      <c r="G16" s="28">
        <v>9.66</v>
      </c>
    </row>
    <row r="17" ht="12.0" customHeight="1">
      <c r="B17" s="27" t="s">
        <v>57</v>
      </c>
      <c r="F17" s="28">
        <v>70.5</v>
      </c>
      <c r="G17" s="28">
        <v>8.74</v>
      </c>
    </row>
    <row r="18" ht="12.0" customHeight="1">
      <c r="F18" s="28"/>
      <c r="G18" s="28"/>
    </row>
    <row r="19" ht="12.0" customHeight="1">
      <c r="B19" s="27" t="s">
        <v>58</v>
      </c>
      <c r="F19" s="28">
        <v>29.79</v>
      </c>
      <c r="G19" s="28">
        <v>5.28</v>
      </c>
    </row>
    <row r="20" ht="12.0" customHeight="1">
      <c r="B20" s="27" t="s">
        <v>59</v>
      </c>
      <c r="F20" s="28">
        <v>25.82</v>
      </c>
      <c r="G20" s="28">
        <v>4.66</v>
      </c>
    </row>
    <row r="21" ht="12.0" customHeight="1">
      <c r="B21" s="27" t="s">
        <v>60</v>
      </c>
      <c r="F21" s="28">
        <v>35.78</v>
      </c>
      <c r="G21" s="28">
        <v>6.3</v>
      </c>
    </row>
    <row r="22" ht="12.0" customHeight="1">
      <c r="B22" s="27" t="s">
        <v>61</v>
      </c>
      <c r="F22" s="28">
        <v>37.72</v>
      </c>
      <c r="G22" s="28">
        <v>5.07</v>
      </c>
    </row>
    <row r="23" ht="12.0" customHeight="1">
      <c r="B23" s="27" t="s">
        <v>62</v>
      </c>
      <c r="F23" s="28">
        <v>27.37</v>
      </c>
      <c r="G23" s="28">
        <v>4.48</v>
      </c>
    </row>
    <row r="24" ht="12.0" customHeight="1">
      <c r="B24" s="27" t="s">
        <v>63</v>
      </c>
      <c r="F24" s="28">
        <v>33.51</v>
      </c>
      <c r="G24" s="28">
        <v>4.19</v>
      </c>
    </row>
    <row r="25" ht="12.0" customHeight="1">
      <c r="B25" s="27" t="s">
        <v>64</v>
      </c>
      <c r="F25" s="28">
        <v>44.23</v>
      </c>
      <c r="G25" s="28">
        <v>6.02</v>
      </c>
    </row>
    <row r="26" ht="12.0" customHeight="1">
      <c r="B26" s="27" t="s">
        <v>65</v>
      </c>
      <c r="F26" s="28">
        <v>43.27</v>
      </c>
      <c r="G26" s="28">
        <v>4.93</v>
      </c>
    </row>
    <row r="27" ht="12.0" customHeight="1">
      <c r="B27" s="27" t="s">
        <v>66</v>
      </c>
      <c r="F27" s="28">
        <v>31.79</v>
      </c>
      <c r="G27" s="28">
        <v>4.6</v>
      </c>
    </row>
    <row r="28" ht="12.0" customHeight="1">
      <c r="B28" s="27" t="s">
        <v>67</v>
      </c>
      <c r="F28" s="28">
        <v>39.53</v>
      </c>
      <c r="G28" s="28">
        <v>5.58</v>
      </c>
    </row>
    <row r="29" ht="12.0" customHeight="1">
      <c r="B29" s="27" t="s">
        <v>68</v>
      </c>
      <c r="F29" s="28">
        <v>28.94</v>
      </c>
      <c r="G29" s="28">
        <v>4.86</v>
      </c>
    </row>
    <row r="30" ht="12.0" customHeight="1">
      <c r="B30" s="27" t="s">
        <v>69</v>
      </c>
      <c r="F30" s="28">
        <v>33.66</v>
      </c>
      <c r="G30" s="28">
        <v>5.64</v>
      </c>
    </row>
    <row r="31" ht="12.0" customHeight="1">
      <c r="B31" s="27" t="s">
        <v>70</v>
      </c>
      <c r="F31" s="28">
        <v>34.59</v>
      </c>
      <c r="G31" s="28">
        <v>5.63</v>
      </c>
    </row>
    <row r="32" ht="12.0" customHeight="1">
      <c r="B32" s="27" t="s">
        <v>71</v>
      </c>
      <c r="F32" s="28">
        <v>37.48</v>
      </c>
      <c r="G32" s="28">
        <v>5.13</v>
      </c>
    </row>
    <row r="33" ht="12.0" customHeight="1">
      <c r="B33" s="27" t="s">
        <v>72</v>
      </c>
      <c r="F33" s="28">
        <v>32.98</v>
      </c>
      <c r="G33" s="28">
        <v>4.46</v>
      </c>
    </row>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0"/>
    <col customWidth="1" min="9" max="9" width="13.43"/>
    <col customWidth="1" min="10" max="26" width="10.0"/>
  </cols>
  <sheetData>
    <row r="1" ht="12.0" customHeight="1">
      <c r="A1" s="29" t="s">
        <v>73</v>
      </c>
      <c r="B1" s="30"/>
      <c r="C1" s="30"/>
      <c r="D1" s="30"/>
      <c r="E1" s="30"/>
      <c r="F1" s="30"/>
      <c r="G1" s="30"/>
      <c r="H1" s="30"/>
      <c r="I1" s="31"/>
    </row>
    <row r="2" ht="12.0" customHeight="1">
      <c r="A2" s="32"/>
      <c r="B2" s="33"/>
      <c r="C2" s="33"/>
      <c r="D2" s="33"/>
      <c r="E2" s="33"/>
      <c r="F2" s="33"/>
      <c r="G2" s="33"/>
      <c r="H2" s="33"/>
      <c r="I2" s="34"/>
    </row>
    <row r="3" ht="12.75" customHeight="1">
      <c r="A3" s="35" t="s">
        <v>74</v>
      </c>
      <c r="B3" s="36"/>
      <c r="C3" s="36"/>
      <c r="D3" s="36"/>
      <c r="E3" s="36"/>
      <c r="F3" s="36"/>
      <c r="G3" s="36"/>
      <c r="H3" s="36"/>
      <c r="I3" s="37"/>
    </row>
    <row r="4" ht="12.75" customHeight="1">
      <c r="A4" s="38"/>
      <c r="B4" s="38"/>
      <c r="C4" s="38"/>
      <c r="D4" s="38"/>
      <c r="E4" s="38"/>
      <c r="F4" s="38"/>
      <c r="G4" s="38"/>
      <c r="H4" s="38"/>
      <c r="I4" s="38"/>
    </row>
    <row r="5" ht="12.75" customHeight="1">
      <c r="A5" s="38"/>
      <c r="B5" s="38"/>
      <c r="C5" s="38"/>
      <c r="D5" s="38"/>
      <c r="E5" s="38"/>
      <c r="F5" s="38"/>
      <c r="G5" s="38"/>
      <c r="H5" s="38"/>
      <c r="I5" s="38"/>
    </row>
    <row r="6" ht="13.5" customHeight="1">
      <c r="A6" s="38"/>
      <c r="B6" s="39"/>
      <c r="C6" s="39"/>
      <c r="D6" s="39"/>
      <c r="E6" s="39"/>
      <c r="F6" s="39"/>
      <c r="G6" s="39"/>
      <c r="H6" s="39"/>
      <c r="I6" s="38"/>
    </row>
    <row r="7" ht="13.5" customHeight="1">
      <c r="A7" s="38"/>
      <c r="B7" s="39"/>
      <c r="C7" s="40" t="s">
        <v>75</v>
      </c>
      <c r="D7" s="37"/>
      <c r="E7" s="41"/>
      <c r="F7" s="42"/>
      <c r="G7" s="43"/>
      <c r="H7" s="39"/>
      <c r="I7" s="38"/>
    </row>
    <row r="8" ht="13.5" customHeight="1">
      <c r="A8" s="38"/>
      <c r="B8" s="39"/>
      <c r="C8" s="44"/>
      <c r="D8" s="44"/>
      <c r="E8" s="45"/>
      <c r="F8" s="36"/>
      <c r="G8" s="37"/>
      <c r="H8" s="39"/>
      <c r="I8" s="38"/>
    </row>
    <row r="9" ht="13.5" customHeight="1">
      <c r="A9" s="38"/>
      <c r="B9" s="39"/>
      <c r="C9" s="40" t="s">
        <v>76</v>
      </c>
      <c r="D9" s="37"/>
      <c r="E9" s="41"/>
      <c r="F9" s="42"/>
      <c r="G9" s="43"/>
      <c r="H9" s="39"/>
      <c r="I9" s="38"/>
    </row>
    <row r="10" ht="13.5" customHeight="1">
      <c r="A10" s="38"/>
      <c r="B10" s="39"/>
      <c r="C10" s="44"/>
      <c r="D10" s="44"/>
      <c r="E10" s="45"/>
      <c r="F10" s="36"/>
      <c r="G10" s="37"/>
      <c r="H10" s="39"/>
      <c r="I10" s="38"/>
    </row>
    <row r="11" ht="13.5" customHeight="1">
      <c r="A11" s="38"/>
      <c r="B11" s="39"/>
      <c r="C11" s="40" t="s">
        <v>77</v>
      </c>
      <c r="D11" s="37"/>
      <c r="E11" s="46"/>
      <c r="F11" s="42"/>
      <c r="G11" s="43"/>
      <c r="H11" s="39"/>
      <c r="I11" s="38"/>
    </row>
    <row r="12" ht="13.5" customHeight="1">
      <c r="A12" s="38"/>
      <c r="B12" s="39"/>
      <c r="C12" s="44"/>
      <c r="D12" s="44"/>
      <c r="E12" s="45"/>
      <c r="F12" s="36"/>
      <c r="G12" s="37"/>
      <c r="H12" s="39"/>
      <c r="I12" s="38"/>
    </row>
    <row r="13" ht="13.5" customHeight="1">
      <c r="A13" s="38"/>
      <c r="B13" s="39"/>
      <c r="C13" s="40" t="s">
        <v>78</v>
      </c>
      <c r="D13" s="37"/>
      <c r="E13" s="41" t="s">
        <v>79</v>
      </c>
      <c r="F13" s="42"/>
      <c r="G13" s="43"/>
      <c r="H13" s="39"/>
      <c r="I13" s="38"/>
    </row>
    <row r="14" ht="13.5" customHeight="1">
      <c r="A14" s="38"/>
      <c r="B14" s="39"/>
      <c r="C14" s="44"/>
      <c r="D14" s="44"/>
      <c r="E14" s="45"/>
      <c r="F14" s="36"/>
      <c r="G14" s="37"/>
      <c r="H14" s="39"/>
      <c r="I14" s="38"/>
    </row>
    <row r="15" ht="13.5" customHeight="1">
      <c r="A15" s="38"/>
      <c r="B15" s="39"/>
      <c r="C15" s="40" t="s">
        <v>80</v>
      </c>
      <c r="D15" s="37"/>
      <c r="E15" s="41" t="s">
        <v>81</v>
      </c>
      <c r="F15" s="42"/>
      <c r="G15" s="43"/>
      <c r="H15" s="39"/>
      <c r="I15" s="38"/>
    </row>
    <row r="16" ht="13.5" customHeight="1">
      <c r="A16" s="38"/>
      <c r="B16" s="39"/>
      <c r="C16" s="44"/>
      <c r="D16" s="44"/>
      <c r="E16" s="45"/>
      <c r="F16" s="36"/>
      <c r="G16" s="37"/>
      <c r="H16" s="39"/>
      <c r="I16" s="38"/>
    </row>
    <row r="17" ht="13.5" customHeight="1">
      <c r="A17" s="38"/>
      <c r="B17" s="39"/>
      <c r="C17" s="40" t="s">
        <v>82</v>
      </c>
      <c r="D17" s="37"/>
      <c r="E17" s="41" t="s">
        <v>83</v>
      </c>
      <c r="F17" s="42"/>
      <c r="G17" s="43"/>
      <c r="H17" s="39"/>
      <c r="I17" s="38"/>
    </row>
    <row r="18" ht="13.5" customHeight="1">
      <c r="A18" s="38"/>
      <c r="B18" s="39"/>
      <c r="C18" s="44"/>
      <c r="D18" s="44"/>
      <c r="E18" s="45"/>
      <c r="F18" s="36"/>
      <c r="G18" s="37"/>
      <c r="H18" s="39"/>
      <c r="I18" s="38"/>
    </row>
    <row r="19" ht="13.5" customHeight="1">
      <c r="A19" s="38"/>
      <c r="B19" s="39"/>
      <c r="C19" s="40" t="s">
        <v>84</v>
      </c>
      <c r="D19" s="37"/>
      <c r="E19" s="46"/>
      <c r="F19" s="42"/>
      <c r="G19" s="43"/>
      <c r="H19" s="39"/>
      <c r="I19" s="38"/>
    </row>
    <row r="20" ht="12.75" customHeight="1">
      <c r="A20" s="38"/>
      <c r="B20" s="39"/>
      <c r="C20" s="39"/>
      <c r="D20" s="39"/>
      <c r="E20" s="39"/>
      <c r="F20" s="39"/>
      <c r="G20" s="39"/>
      <c r="H20" s="39"/>
      <c r="I20" s="38"/>
    </row>
    <row r="21" ht="12.75" customHeight="1">
      <c r="A21" s="38"/>
      <c r="B21" s="39"/>
      <c r="C21" s="39"/>
      <c r="D21" s="39"/>
      <c r="E21" s="39"/>
      <c r="F21" s="39"/>
      <c r="G21" s="39"/>
      <c r="H21" s="39"/>
      <c r="I21" s="38"/>
    </row>
    <row r="22" ht="12.75" customHeight="1">
      <c r="A22" s="38"/>
      <c r="B22" s="38"/>
      <c r="C22" s="38"/>
      <c r="D22" s="38"/>
      <c r="E22" s="38"/>
      <c r="F22" s="38"/>
      <c r="G22" s="38"/>
      <c r="H22" s="38"/>
      <c r="I22" s="38"/>
    </row>
    <row r="23" ht="12.75" customHeight="1">
      <c r="A23" s="38"/>
      <c r="B23" s="38"/>
      <c r="C23" s="38"/>
      <c r="D23" s="38"/>
      <c r="E23" s="38"/>
      <c r="F23" s="38"/>
      <c r="G23" s="38"/>
      <c r="H23" s="38"/>
      <c r="I23" s="38"/>
    </row>
    <row r="24" ht="12.75" customHeight="1">
      <c r="A24" s="38"/>
      <c r="B24" s="38"/>
      <c r="C24" s="38"/>
      <c r="D24" s="38"/>
      <c r="E24" s="38"/>
      <c r="F24" s="38"/>
      <c r="G24" s="38"/>
      <c r="H24" s="38"/>
      <c r="I24" s="38"/>
    </row>
    <row r="25" ht="12.75" customHeight="1">
      <c r="A25" s="38"/>
      <c r="B25" s="47" t="s">
        <v>85</v>
      </c>
      <c r="C25" s="30"/>
      <c r="D25" s="30"/>
      <c r="E25" s="30"/>
      <c r="F25" s="30"/>
      <c r="G25" s="30"/>
      <c r="H25" s="31"/>
      <c r="I25" s="38"/>
    </row>
    <row r="26" ht="12.75" customHeight="1">
      <c r="A26" s="38"/>
      <c r="B26" s="48"/>
      <c r="H26" s="49"/>
      <c r="I26" s="38"/>
    </row>
    <row r="27" ht="12.0" customHeight="1">
      <c r="A27" s="50"/>
      <c r="B27" s="48"/>
      <c r="H27" s="49"/>
      <c r="I27" s="50"/>
    </row>
    <row r="28" ht="12.0" customHeight="1">
      <c r="A28" s="50"/>
      <c r="B28" s="48"/>
      <c r="H28" s="49"/>
      <c r="I28" s="50"/>
    </row>
    <row r="29" ht="12.0" customHeight="1">
      <c r="A29" s="50"/>
      <c r="B29" s="48"/>
      <c r="H29" s="49"/>
      <c r="I29" s="50"/>
    </row>
    <row r="30" ht="12.0" customHeight="1">
      <c r="A30" s="50"/>
      <c r="B30" s="48"/>
      <c r="H30" s="49"/>
      <c r="I30" s="50"/>
    </row>
    <row r="31" ht="12.0" customHeight="1">
      <c r="A31" s="50"/>
      <c r="B31" s="48"/>
      <c r="H31" s="49"/>
      <c r="I31" s="50"/>
    </row>
    <row r="32" ht="12.0" customHeight="1">
      <c r="A32" s="50"/>
      <c r="B32" s="48"/>
      <c r="H32" s="49"/>
      <c r="I32" s="50"/>
    </row>
    <row r="33" ht="12.0" customHeight="1">
      <c r="A33" s="50"/>
      <c r="B33" s="48"/>
      <c r="H33" s="49"/>
      <c r="I33" s="50"/>
    </row>
    <row r="34" ht="12.0" customHeight="1">
      <c r="A34" s="50"/>
      <c r="B34" s="48"/>
      <c r="H34" s="49"/>
      <c r="I34" s="50"/>
    </row>
    <row r="35" ht="12.0" customHeight="1">
      <c r="A35" s="50"/>
      <c r="B35" s="48"/>
      <c r="H35" s="49"/>
      <c r="I35" s="50"/>
    </row>
    <row r="36" ht="12.0" customHeight="1">
      <c r="A36" s="50"/>
      <c r="B36" s="48"/>
      <c r="H36" s="49"/>
      <c r="I36" s="50"/>
    </row>
    <row r="37" ht="12.0" customHeight="1">
      <c r="A37" s="50"/>
      <c r="B37" s="48"/>
      <c r="H37" s="49"/>
      <c r="I37" s="50"/>
    </row>
    <row r="38" ht="12.0" customHeight="1">
      <c r="A38" s="50"/>
      <c r="B38" s="32"/>
      <c r="C38" s="33"/>
      <c r="D38" s="33"/>
      <c r="E38" s="33"/>
      <c r="F38" s="33"/>
      <c r="G38" s="33"/>
      <c r="H38" s="34"/>
      <c r="I38" s="50"/>
    </row>
    <row r="39" ht="12.0" customHeight="1">
      <c r="A39" s="50"/>
      <c r="B39" s="50"/>
      <c r="C39" s="50"/>
      <c r="D39" s="50"/>
      <c r="E39" s="50"/>
      <c r="F39" s="50"/>
      <c r="G39" s="50"/>
      <c r="H39" s="50"/>
      <c r="I39" s="50"/>
    </row>
    <row r="40" ht="12.0" customHeight="1">
      <c r="A40" s="50"/>
      <c r="B40" s="50"/>
      <c r="C40" s="50"/>
      <c r="D40" s="50"/>
      <c r="E40" s="50"/>
      <c r="F40" s="50"/>
      <c r="G40" s="50"/>
      <c r="H40" s="50"/>
      <c r="I40" s="50"/>
    </row>
    <row r="41" ht="12.0" customHeight="1">
      <c r="A41" s="50"/>
      <c r="B41" s="50"/>
      <c r="C41" s="50"/>
      <c r="D41" s="50"/>
      <c r="E41" s="50"/>
      <c r="F41" s="50"/>
      <c r="G41" s="50"/>
      <c r="H41" s="50"/>
      <c r="I41" s="50"/>
    </row>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23">
    <mergeCell ref="C9:D9"/>
    <mergeCell ref="C11:D11"/>
    <mergeCell ref="C13:D13"/>
    <mergeCell ref="C15:D15"/>
    <mergeCell ref="C17:D17"/>
    <mergeCell ref="C19:D19"/>
    <mergeCell ref="A1:I2"/>
    <mergeCell ref="A3:I3"/>
    <mergeCell ref="C7:D7"/>
    <mergeCell ref="E7:G7"/>
    <mergeCell ref="E8:G8"/>
    <mergeCell ref="E9:G9"/>
    <mergeCell ref="E10:G10"/>
    <mergeCell ref="E18:G18"/>
    <mergeCell ref="E19:G19"/>
    <mergeCell ref="B25:H38"/>
    <mergeCell ref="E11:G11"/>
    <mergeCell ref="E12:G12"/>
    <mergeCell ref="E13:G13"/>
    <mergeCell ref="E14:G14"/>
    <mergeCell ref="E15:G15"/>
    <mergeCell ref="E16:G16"/>
    <mergeCell ref="E17:G1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43"/>
    <col customWidth="1" hidden="1" min="3" max="3" width="14.14"/>
    <col customWidth="1" min="4" max="5" width="15.43"/>
    <col customWidth="1" hidden="1" min="6" max="6" width="14.14"/>
    <col customWidth="1" min="7" max="8" width="15.43"/>
    <col customWidth="1" hidden="1" min="9" max="9" width="14.14"/>
    <col customWidth="1" min="10" max="18" width="10.0"/>
    <col customWidth="1" min="19" max="20" width="8.71"/>
    <col customWidth="1" min="21" max="31" width="6.71"/>
    <col customWidth="1" min="32" max="33" width="10.0"/>
    <col customWidth="1" min="34" max="34" width="19.43"/>
    <col customWidth="1" min="35" max="40" width="7.71"/>
    <col customWidth="1" min="41" max="41" width="9.71"/>
    <col customWidth="1" min="42" max="48" width="6.71"/>
    <col customWidth="1" min="49" max="60" width="10.0"/>
  </cols>
  <sheetData>
    <row r="1" ht="12.75" customHeight="1">
      <c r="A1" s="51" t="s">
        <v>86</v>
      </c>
      <c r="B1" s="52" t="s">
        <v>87</v>
      </c>
      <c r="C1" s="53" t="s">
        <v>88</v>
      </c>
      <c r="D1" s="51" t="s">
        <v>86</v>
      </c>
      <c r="E1" s="52" t="s">
        <v>87</v>
      </c>
      <c r="F1" s="53" t="s">
        <v>88</v>
      </c>
      <c r="G1" s="51" t="s">
        <v>86</v>
      </c>
      <c r="H1" s="52" t="s">
        <v>87</v>
      </c>
      <c r="I1" s="54" t="s">
        <v>88</v>
      </c>
    </row>
    <row r="2" ht="19.5" customHeight="1">
      <c r="A2" s="55">
        <v>1.0</v>
      </c>
      <c r="B2" s="55"/>
      <c r="C2" s="55"/>
      <c r="D2" s="56"/>
      <c r="E2" s="56"/>
      <c r="F2" s="56"/>
      <c r="G2" s="56"/>
      <c r="H2" s="56"/>
      <c r="I2" s="56"/>
    </row>
    <row r="3" ht="13.5" customHeight="1">
      <c r="A3" s="57">
        <v>1.0</v>
      </c>
      <c r="B3" s="58">
        <v>3.0</v>
      </c>
      <c r="C3" s="59">
        <f>0+B3</f>
        <v>3</v>
      </c>
      <c r="D3" s="57">
        <v>56.0</v>
      </c>
      <c r="E3" s="60">
        <v>5.0</v>
      </c>
      <c r="F3" s="59">
        <f>6-E3</f>
        <v>1</v>
      </c>
      <c r="G3" s="57">
        <f>SUM($A$2+D57)</f>
        <v>111</v>
      </c>
      <c r="H3" s="60">
        <v>4.0</v>
      </c>
      <c r="I3" s="59">
        <f>6-H3</f>
        <v>2</v>
      </c>
    </row>
    <row r="4" ht="12.0" customHeight="1">
      <c r="A4" s="57">
        <f t="shared" ref="A4:A57" si="1">SUM($A$2+A3)</f>
        <v>2</v>
      </c>
      <c r="B4" s="60">
        <v>5.0</v>
      </c>
      <c r="C4" s="59">
        <f>6-B4</f>
        <v>1</v>
      </c>
      <c r="D4" s="57">
        <f t="shared" ref="D4:D57" si="2">SUM($A$2+D3)</f>
        <v>57</v>
      </c>
      <c r="E4" s="60">
        <v>5.0</v>
      </c>
      <c r="F4" s="59">
        <f>0+E4</f>
        <v>5</v>
      </c>
      <c r="G4" s="57">
        <f t="shared" ref="G4:G25" si="3">SUM($A$2+G3)</f>
        <v>112</v>
      </c>
      <c r="H4" s="60">
        <v>5.0</v>
      </c>
      <c r="I4" s="59">
        <f t="shared" ref="I4:I7" si="4">0+H4</f>
        <v>5</v>
      </c>
    </row>
    <row r="5" ht="12.0" customHeight="1">
      <c r="A5" s="57">
        <f t="shared" si="1"/>
        <v>3</v>
      </c>
      <c r="B5" s="60">
        <v>3.0</v>
      </c>
      <c r="C5" s="59">
        <f>B5</f>
        <v>3</v>
      </c>
      <c r="D5" s="57">
        <f t="shared" si="2"/>
        <v>58</v>
      </c>
      <c r="E5" s="60">
        <v>5.0</v>
      </c>
      <c r="F5" s="59">
        <f t="shared" ref="F5:F6" si="5">6-E5</f>
        <v>1</v>
      </c>
      <c r="G5" s="57">
        <f t="shared" si="3"/>
        <v>113</v>
      </c>
      <c r="H5" s="60">
        <v>1.0</v>
      </c>
      <c r="I5" s="59">
        <f t="shared" si="4"/>
        <v>1</v>
      </c>
    </row>
    <row r="6" ht="12.0" customHeight="1">
      <c r="A6" s="57">
        <f t="shared" si="1"/>
        <v>4</v>
      </c>
      <c r="B6" s="60">
        <v>1.0</v>
      </c>
      <c r="C6" s="59">
        <f t="shared" ref="C6:C11" si="6">0+B6</f>
        <v>1</v>
      </c>
      <c r="D6" s="57">
        <f t="shared" si="2"/>
        <v>59</v>
      </c>
      <c r="E6" s="60">
        <v>1.0</v>
      </c>
      <c r="F6" s="59">
        <f t="shared" si="5"/>
        <v>5</v>
      </c>
      <c r="G6" s="57">
        <f t="shared" si="3"/>
        <v>114</v>
      </c>
      <c r="H6" s="60">
        <v>1.0</v>
      </c>
      <c r="I6" s="59">
        <f t="shared" si="4"/>
        <v>1</v>
      </c>
    </row>
    <row r="7" ht="12.0" customHeight="1">
      <c r="A7" s="57">
        <f t="shared" si="1"/>
        <v>5</v>
      </c>
      <c r="B7" s="60">
        <v>2.0</v>
      </c>
      <c r="C7" s="59">
        <f t="shared" si="6"/>
        <v>2</v>
      </c>
      <c r="D7" s="57">
        <f t="shared" si="2"/>
        <v>60</v>
      </c>
      <c r="E7" s="60">
        <v>1.0</v>
      </c>
      <c r="F7" s="59">
        <f t="shared" ref="F7:F10" si="7">0+E7</f>
        <v>1</v>
      </c>
      <c r="G7" s="57">
        <f t="shared" si="3"/>
        <v>115</v>
      </c>
      <c r="H7" s="60">
        <v>4.0</v>
      </c>
      <c r="I7" s="59">
        <f t="shared" si="4"/>
        <v>4</v>
      </c>
    </row>
    <row r="8" ht="12.0" customHeight="1">
      <c r="A8" s="57">
        <f t="shared" si="1"/>
        <v>6</v>
      </c>
      <c r="B8" s="60">
        <v>4.0</v>
      </c>
      <c r="C8" s="59">
        <f t="shared" si="6"/>
        <v>4</v>
      </c>
      <c r="D8" s="57">
        <f t="shared" si="2"/>
        <v>61</v>
      </c>
      <c r="E8" s="60">
        <v>4.0</v>
      </c>
      <c r="F8" s="59">
        <f t="shared" si="7"/>
        <v>4</v>
      </c>
      <c r="G8" s="57">
        <f t="shared" si="3"/>
        <v>116</v>
      </c>
      <c r="H8" s="60">
        <v>4.0</v>
      </c>
      <c r="I8" s="59">
        <f t="shared" ref="I8:I10" si="8">6-H8</f>
        <v>2</v>
      </c>
    </row>
    <row r="9" ht="12.0" customHeight="1">
      <c r="A9" s="57">
        <f t="shared" si="1"/>
        <v>7</v>
      </c>
      <c r="B9" s="60">
        <v>5.0</v>
      </c>
      <c r="C9" s="59">
        <f t="shared" si="6"/>
        <v>5</v>
      </c>
      <c r="D9" s="57">
        <f t="shared" si="2"/>
        <v>62</v>
      </c>
      <c r="E9" s="60">
        <v>5.0</v>
      </c>
      <c r="F9" s="59">
        <f t="shared" si="7"/>
        <v>5</v>
      </c>
      <c r="G9" s="57">
        <f t="shared" si="3"/>
        <v>117</v>
      </c>
      <c r="H9" s="60">
        <v>5.0</v>
      </c>
      <c r="I9" s="59">
        <f t="shared" si="8"/>
        <v>1</v>
      </c>
    </row>
    <row r="10" ht="12.0" customHeight="1">
      <c r="A10" s="57">
        <f t="shared" si="1"/>
        <v>8</v>
      </c>
      <c r="B10" s="60">
        <v>5.0</v>
      </c>
      <c r="C10" s="59">
        <f t="shared" si="6"/>
        <v>5</v>
      </c>
      <c r="D10" s="57">
        <f t="shared" si="2"/>
        <v>63</v>
      </c>
      <c r="E10" s="60">
        <v>5.0</v>
      </c>
      <c r="F10" s="59">
        <f t="shared" si="7"/>
        <v>5</v>
      </c>
      <c r="G10" s="57">
        <f t="shared" si="3"/>
        <v>118</v>
      </c>
      <c r="H10" s="60">
        <v>5.0</v>
      </c>
      <c r="I10" s="59">
        <f t="shared" si="8"/>
        <v>1</v>
      </c>
    </row>
    <row r="11" ht="12.0" customHeight="1">
      <c r="A11" s="57">
        <f t="shared" si="1"/>
        <v>9</v>
      </c>
      <c r="B11" s="60">
        <v>5.0</v>
      </c>
      <c r="C11" s="59">
        <f t="shared" si="6"/>
        <v>5</v>
      </c>
      <c r="D11" s="57">
        <f t="shared" si="2"/>
        <v>64</v>
      </c>
      <c r="E11" s="60">
        <v>5.0</v>
      </c>
      <c r="F11" s="59">
        <f>6-E11</f>
        <v>1</v>
      </c>
      <c r="G11" s="57">
        <f t="shared" si="3"/>
        <v>119</v>
      </c>
      <c r="H11" s="60">
        <v>1.0</v>
      </c>
      <c r="I11" s="59">
        <f t="shared" ref="I11:I12" si="9">0+H11</f>
        <v>1</v>
      </c>
    </row>
    <row r="12" ht="12.0" customHeight="1">
      <c r="A12" s="57">
        <f t="shared" si="1"/>
        <v>10</v>
      </c>
      <c r="B12" s="60">
        <v>3.0</v>
      </c>
      <c r="C12" s="59">
        <f>6-B12</f>
        <v>3</v>
      </c>
      <c r="D12" s="57">
        <f t="shared" si="2"/>
        <v>65</v>
      </c>
      <c r="E12" s="60">
        <v>1.0</v>
      </c>
      <c r="F12" s="59">
        <f>0+E12</f>
        <v>1</v>
      </c>
      <c r="G12" s="57">
        <f t="shared" si="3"/>
        <v>120</v>
      </c>
      <c r="H12" s="60">
        <v>4.0</v>
      </c>
      <c r="I12" s="59">
        <f t="shared" si="9"/>
        <v>4</v>
      </c>
    </row>
    <row r="13" ht="12.0" customHeight="1">
      <c r="A13" s="57">
        <f t="shared" si="1"/>
        <v>11</v>
      </c>
      <c r="B13" s="60">
        <v>1.0</v>
      </c>
      <c r="C13" s="59">
        <f t="shared" ref="C13:C14" si="10">0+B13</f>
        <v>1</v>
      </c>
      <c r="D13" s="57">
        <f t="shared" si="2"/>
        <v>66</v>
      </c>
      <c r="E13" s="60">
        <v>4.0</v>
      </c>
      <c r="F13" s="59">
        <f>6-E13</f>
        <v>2</v>
      </c>
      <c r="G13" s="57">
        <f t="shared" si="3"/>
        <v>121</v>
      </c>
      <c r="H13" s="60">
        <v>5.0</v>
      </c>
      <c r="I13" s="59">
        <f t="shared" ref="I13:I14" si="11">6-H13</f>
        <v>1</v>
      </c>
    </row>
    <row r="14" ht="12.0" customHeight="1">
      <c r="A14" s="57">
        <f t="shared" si="1"/>
        <v>12</v>
      </c>
      <c r="B14" s="60">
        <v>5.0</v>
      </c>
      <c r="C14" s="59">
        <f t="shared" si="10"/>
        <v>5</v>
      </c>
      <c r="D14" s="57">
        <f t="shared" si="2"/>
        <v>67</v>
      </c>
      <c r="E14" s="60">
        <v>5.0</v>
      </c>
      <c r="F14" s="59">
        <f>0+E14</f>
        <v>5</v>
      </c>
      <c r="G14" s="57">
        <f t="shared" si="3"/>
        <v>122</v>
      </c>
      <c r="H14" s="60">
        <v>4.0</v>
      </c>
      <c r="I14" s="59">
        <f t="shared" si="11"/>
        <v>2</v>
      </c>
    </row>
    <row r="15" ht="12.0" customHeight="1">
      <c r="A15" s="57">
        <f t="shared" si="1"/>
        <v>13</v>
      </c>
      <c r="B15" s="60">
        <v>5.0</v>
      </c>
      <c r="C15" s="59">
        <f t="shared" ref="C15:C16" si="12">6-B15</f>
        <v>1</v>
      </c>
      <c r="D15" s="57">
        <f t="shared" si="2"/>
        <v>68</v>
      </c>
      <c r="E15" s="60">
        <v>5.0</v>
      </c>
      <c r="F15" s="59">
        <f t="shared" ref="F15:F17" si="13">6-E15</f>
        <v>1</v>
      </c>
      <c r="G15" s="57">
        <f t="shared" si="3"/>
        <v>123</v>
      </c>
      <c r="H15" s="60">
        <v>1.0</v>
      </c>
      <c r="I15" s="59">
        <f t="shared" ref="I15:I16" si="14">0+H15</f>
        <v>1</v>
      </c>
    </row>
    <row r="16" ht="12.0" customHeight="1">
      <c r="A16" s="57">
        <f t="shared" si="1"/>
        <v>14</v>
      </c>
      <c r="B16" s="60">
        <v>5.0</v>
      </c>
      <c r="C16" s="59">
        <f t="shared" si="12"/>
        <v>1</v>
      </c>
      <c r="D16" s="57">
        <f t="shared" si="2"/>
        <v>69</v>
      </c>
      <c r="E16" s="60">
        <v>3.0</v>
      </c>
      <c r="F16" s="59">
        <f t="shared" si="13"/>
        <v>3</v>
      </c>
      <c r="G16" s="57">
        <f t="shared" si="3"/>
        <v>124</v>
      </c>
      <c r="H16" s="60">
        <v>4.0</v>
      </c>
      <c r="I16" s="59">
        <f t="shared" si="14"/>
        <v>4</v>
      </c>
    </row>
    <row r="17" ht="12.0" customHeight="1">
      <c r="A17" s="57">
        <f t="shared" si="1"/>
        <v>15</v>
      </c>
      <c r="B17" s="60">
        <v>2.0</v>
      </c>
      <c r="C17" s="59">
        <f t="shared" ref="C17:C18" si="15">0+B17</f>
        <v>2</v>
      </c>
      <c r="D17" s="57">
        <f t="shared" si="2"/>
        <v>70</v>
      </c>
      <c r="E17" s="60">
        <v>5.0</v>
      </c>
      <c r="F17" s="59">
        <f t="shared" si="13"/>
        <v>1</v>
      </c>
      <c r="G17" s="57">
        <f t="shared" si="3"/>
        <v>125</v>
      </c>
      <c r="H17" s="60">
        <v>4.0</v>
      </c>
      <c r="I17" s="59">
        <f t="shared" ref="I17:I20" si="16">6-H17</f>
        <v>2</v>
      </c>
    </row>
    <row r="18" ht="12.0" customHeight="1">
      <c r="A18" s="57">
        <f t="shared" si="1"/>
        <v>16</v>
      </c>
      <c r="B18" s="60">
        <v>2.0</v>
      </c>
      <c r="C18" s="59">
        <f t="shared" si="15"/>
        <v>2</v>
      </c>
      <c r="D18" s="57">
        <f t="shared" si="2"/>
        <v>71</v>
      </c>
      <c r="E18" s="60">
        <v>5.0</v>
      </c>
      <c r="F18" s="59">
        <f t="shared" ref="F18:F19" si="17">0+E18</f>
        <v>5</v>
      </c>
      <c r="G18" s="57">
        <f t="shared" si="3"/>
        <v>126</v>
      </c>
      <c r="H18" s="60">
        <v>5.0</v>
      </c>
      <c r="I18" s="61">
        <f t="shared" si="16"/>
        <v>1</v>
      </c>
    </row>
    <row r="19" ht="12.0" customHeight="1">
      <c r="A19" s="57">
        <f t="shared" si="1"/>
        <v>17</v>
      </c>
      <c r="B19" s="60">
        <v>3.0</v>
      </c>
      <c r="C19" s="59">
        <f t="shared" ref="C19:C21" si="18">6-B19</f>
        <v>3</v>
      </c>
      <c r="D19" s="57">
        <f t="shared" si="2"/>
        <v>72</v>
      </c>
      <c r="E19" s="60">
        <v>2.0</v>
      </c>
      <c r="F19" s="59">
        <f t="shared" si="17"/>
        <v>2</v>
      </c>
      <c r="G19" s="57">
        <f t="shared" si="3"/>
        <v>127</v>
      </c>
      <c r="H19" s="60">
        <v>2.0</v>
      </c>
      <c r="I19" s="59">
        <f t="shared" si="16"/>
        <v>4</v>
      </c>
    </row>
    <row r="20" ht="12.0" customHeight="1">
      <c r="A20" s="57">
        <f t="shared" si="1"/>
        <v>18</v>
      </c>
      <c r="B20" s="60">
        <v>5.0</v>
      </c>
      <c r="C20" s="59">
        <f t="shared" si="18"/>
        <v>1</v>
      </c>
      <c r="D20" s="57">
        <f t="shared" si="2"/>
        <v>73</v>
      </c>
      <c r="E20" s="60">
        <v>5.0</v>
      </c>
      <c r="F20" s="59">
        <f>6-E20</f>
        <v>1</v>
      </c>
      <c r="G20" s="57">
        <f t="shared" si="3"/>
        <v>128</v>
      </c>
      <c r="H20" s="60">
        <v>2.0</v>
      </c>
      <c r="I20" s="59">
        <f t="shared" si="16"/>
        <v>4</v>
      </c>
    </row>
    <row r="21" ht="12.0" customHeight="1">
      <c r="A21" s="57">
        <f t="shared" si="1"/>
        <v>19</v>
      </c>
      <c r="B21" s="60">
        <v>5.0</v>
      </c>
      <c r="C21" s="59">
        <f t="shared" si="18"/>
        <v>1</v>
      </c>
      <c r="D21" s="57">
        <f t="shared" si="2"/>
        <v>74</v>
      </c>
      <c r="E21" s="60">
        <v>2.0</v>
      </c>
      <c r="F21" s="59">
        <f>0+E21</f>
        <v>2</v>
      </c>
      <c r="G21" s="57">
        <f t="shared" si="3"/>
        <v>129</v>
      </c>
      <c r="H21" s="60">
        <v>1.0</v>
      </c>
      <c r="I21" s="59">
        <f>0+H21</f>
        <v>1</v>
      </c>
    </row>
    <row r="22" ht="12.0" customHeight="1">
      <c r="A22" s="57">
        <f t="shared" si="1"/>
        <v>20</v>
      </c>
      <c r="B22" s="60">
        <v>5.0</v>
      </c>
      <c r="C22" s="59">
        <f>0+B22</f>
        <v>5</v>
      </c>
      <c r="D22" s="57">
        <f t="shared" si="2"/>
        <v>75</v>
      </c>
      <c r="E22" s="60">
        <v>1.0</v>
      </c>
      <c r="F22" s="59">
        <f t="shared" ref="F22:F24" si="19">6-E22</f>
        <v>5</v>
      </c>
      <c r="G22" s="57">
        <f t="shared" si="3"/>
        <v>130</v>
      </c>
      <c r="H22" s="60">
        <v>4.0</v>
      </c>
      <c r="I22" s="59">
        <f t="shared" ref="I22:I24" si="20">6-H22</f>
        <v>2</v>
      </c>
    </row>
    <row r="23" ht="12.0" customHeight="1">
      <c r="A23" s="57">
        <f t="shared" si="1"/>
        <v>21</v>
      </c>
      <c r="B23" s="60">
        <v>3.0</v>
      </c>
      <c r="C23" s="59">
        <f t="shared" ref="C23:C26" si="21">6-B23</f>
        <v>3</v>
      </c>
      <c r="D23" s="57">
        <f t="shared" si="2"/>
        <v>76</v>
      </c>
      <c r="E23" s="60">
        <v>2.0</v>
      </c>
      <c r="F23" s="59">
        <f t="shared" si="19"/>
        <v>4</v>
      </c>
      <c r="G23" s="57">
        <f t="shared" si="3"/>
        <v>131</v>
      </c>
      <c r="H23" s="60">
        <v>2.0</v>
      </c>
      <c r="I23" s="59">
        <f t="shared" si="20"/>
        <v>4</v>
      </c>
    </row>
    <row r="24" ht="12.0" customHeight="1">
      <c r="A24" s="57">
        <f t="shared" si="1"/>
        <v>22</v>
      </c>
      <c r="B24" s="60">
        <v>1.0</v>
      </c>
      <c r="C24" s="59">
        <f t="shared" si="21"/>
        <v>5</v>
      </c>
      <c r="D24" s="57">
        <f t="shared" si="2"/>
        <v>77</v>
      </c>
      <c r="E24" s="60">
        <v>5.0</v>
      </c>
      <c r="F24" s="59">
        <f t="shared" si="19"/>
        <v>1</v>
      </c>
      <c r="G24" s="57">
        <f t="shared" si="3"/>
        <v>132</v>
      </c>
      <c r="H24" s="60">
        <v>4.0</v>
      </c>
      <c r="I24" s="59">
        <f t="shared" si="20"/>
        <v>2</v>
      </c>
    </row>
    <row r="25" ht="12.0" customHeight="1">
      <c r="A25" s="57">
        <f t="shared" si="1"/>
        <v>23</v>
      </c>
      <c r="B25" s="60">
        <v>2.0</v>
      </c>
      <c r="C25" s="59">
        <f t="shared" si="21"/>
        <v>4</v>
      </c>
      <c r="D25" s="57">
        <f t="shared" si="2"/>
        <v>78</v>
      </c>
      <c r="E25" s="60">
        <v>1.0</v>
      </c>
      <c r="F25" s="59">
        <f t="shared" ref="F25:F28" si="22">0+E25</f>
        <v>1</v>
      </c>
      <c r="G25" s="57">
        <f t="shared" si="3"/>
        <v>133</v>
      </c>
      <c r="H25" s="60">
        <v>4.0</v>
      </c>
      <c r="I25" s="59">
        <f>0+H25</f>
        <v>4</v>
      </c>
    </row>
    <row r="26" ht="12.0" customHeight="1">
      <c r="A26" s="57">
        <f t="shared" si="1"/>
        <v>24</v>
      </c>
      <c r="B26" s="60">
        <v>5.0</v>
      </c>
      <c r="C26" s="59">
        <f t="shared" si="21"/>
        <v>1</v>
      </c>
      <c r="D26" s="57">
        <f t="shared" si="2"/>
        <v>79</v>
      </c>
      <c r="E26" s="60">
        <v>5.0</v>
      </c>
      <c r="F26" s="59">
        <f t="shared" si="22"/>
        <v>5</v>
      </c>
      <c r="G26" s="62"/>
      <c r="H26" s="63"/>
      <c r="I26" s="63">
        <f>SUM(I3:I25)+(C58)+(F58)</f>
        <v>323</v>
      </c>
    </row>
    <row r="27" ht="12.0" customHeight="1">
      <c r="A27" s="57">
        <f t="shared" si="1"/>
        <v>25</v>
      </c>
      <c r="B27" s="60">
        <v>5.0</v>
      </c>
      <c r="C27" s="59">
        <f t="shared" ref="C27:C28" si="23">0+B27</f>
        <v>5</v>
      </c>
      <c r="D27" s="57">
        <f t="shared" si="2"/>
        <v>80</v>
      </c>
      <c r="E27" s="60">
        <v>1.0</v>
      </c>
      <c r="F27" s="59">
        <f t="shared" si="22"/>
        <v>1</v>
      </c>
    </row>
    <row r="28" ht="12.0" customHeight="1">
      <c r="A28" s="57">
        <f t="shared" si="1"/>
        <v>26</v>
      </c>
      <c r="B28" s="60">
        <v>2.0</v>
      </c>
      <c r="C28" s="59">
        <f t="shared" si="23"/>
        <v>2</v>
      </c>
      <c r="D28" s="57">
        <f t="shared" si="2"/>
        <v>81</v>
      </c>
      <c r="E28" s="60">
        <v>4.0</v>
      </c>
      <c r="F28" s="59">
        <f t="shared" si="22"/>
        <v>4</v>
      </c>
    </row>
    <row r="29" ht="12.0" customHeight="1">
      <c r="A29" s="57">
        <f t="shared" si="1"/>
        <v>27</v>
      </c>
      <c r="B29" s="60">
        <v>2.0</v>
      </c>
      <c r="C29" s="59">
        <f t="shared" ref="C29:C32" si="24">6-B29</f>
        <v>4</v>
      </c>
      <c r="D29" s="57">
        <f t="shared" si="2"/>
        <v>82</v>
      </c>
      <c r="E29" s="60">
        <v>5.0</v>
      </c>
      <c r="F29" s="59">
        <f t="shared" ref="F29:F30" si="25">6-E29</f>
        <v>1</v>
      </c>
    </row>
    <row r="30" ht="12.0" customHeight="1">
      <c r="A30" s="57">
        <f t="shared" si="1"/>
        <v>28</v>
      </c>
      <c r="B30" s="60">
        <v>5.0</v>
      </c>
      <c r="C30" s="59">
        <f t="shared" si="24"/>
        <v>1</v>
      </c>
      <c r="D30" s="57">
        <f t="shared" si="2"/>
        <v>83</v>
      </c>
      <c r="E30" s="60">
        <v>5.0</v>
      </c>
      <c r="F30" s="59">
        <f t="shared" si="25"/>
        <v>1</v>
      </c>
    </row>
    <row r="31" ht="12.0" customHeight="1">
      <c r="A31" s="57">
        <f t="shared" si="1"/>
        <v>29</v>
      </c>
      <c r="B31" s="60">
        <v>4.0</v>
      </c>
      <c r="C31" s="59">
        <f t="shared" si="24"/>
        <v>2</v>
      </c>
      <c r="D31" s="57">
        <f t="shared" si="2"/>
        <v>84</v>
      </c>
      <c r="E31" s="60">
        <v>2.0</v>
      </c>
      <c r="F31" s="59">
        <f t="shared" ref="F31:F32" si="26">0+E31</f>
        <v>2</v>
      </c>
    </row>
    <row r="32" ht="12.0" customHeight="1">
      <c r="A32" s="57">
        <f t="shared" si="1"/>
        <v>30</v>
      </c>
      <c r="B32" s="60">
        <v>3.0</v>
      </c>
      <c r="C32" s="59">
        <f t="shared" si="24"/>
        <v>3</v>
      </c>
      <c r="D32" s="57">
        <f t="shared" si="2"/>
        <v>85</v>
      </c>
      <c r="E32" s="60">
        <v>1.0</v>
      </c>
      <c r="F32" s="59">
        <f t="shared" si="26"/>
        <v>1</v>
      </c>
    </row>
    <row r="33" ht="12.0" customHeight="1">
      <c r="A33" s="57">
        <f t="shared" si="1"/>
        <v>31</v>
      </c>
      <c r="B33" s="60">
        <v>3.0</v>
      </c>
      <c r="C33" s="59">
        <f>0+B33</f>
        <v>3</v>
      </c>
      <c r="D33" s="57">
        <f t="shared" si="2"/>
        <v>86</v>
      </c>
      <c r="E33" s="60">
        <v>5.0</v>
      </c>
      <c r="F33" s="59">
        <f t="shared" ref="F33:F34" si="27">6-E33</f>
        <v>1</v>
      </c>
    </row>
    <row r="34" ht="12.0" customHeight="1">
      <c r="A34" s="57">
        <f t="shared" si="1"/>
        <v>32</v>
      </c>
      <c r="B34" s="60">
        <v>2.0</v>
      </c>
      <c r="C34" s="59">
        <f>6-B34</f>
        <v>4</v>
      </c>
      <c r="D34" s="57">
        <f t="shared" si="2"/>
        <v>87</v>
      </c>
      <c r="E34" s="60">
        <v>5.0</v>
      </c>
      <c r="F34" s="59">
        <f t="shared" si="27"/>
        <v>1</v>
      </c>
    </row>
    <row r="35" ht="12.0" customHeight="1">
      <c r="A35" s="57">
        <f t="shared" si="1"/>
        <v>33</v>
      </c>
      <c r="B35" s="60">
        <v>1.0</v>
      </c>
      <c r="C35" s="59">
        <f t="shared" ref="C35:C36" si="28">0+B35</f>
        <v>1</v>
      </c>
      <c r="D35" s="57">
        <f t="shared" si="2"/>
        <v>88</v>
      </c>
      <c r="E35" s="60">
        <v>5.0</v>
      </c>
      <c r="F35" s="59">
        <f t="shared" ref="F35:F37" si="29">0+E35</f>
        <v>5</v>
      </c>
    </row>
    <row r="36" ht="12.0" customHeight="1">
      <c r="A36" s="57">
        <f t="shared" si="1"/>
        <v>34</v>
      </c>
      <c r="B36" s="60">
        <v>1.0</v>
      </c>
      <c r="C36" s="59">
        <f t="shared" si="28"/>
        <v>1</v>
      </c>
      <c r="D36" s="57">
        <f t="shared" si="2"/>
        <v>89</v>
      </c>
      <c r="E36" s="60">
        <v>1.0</v>
      </c>
      <c r="F36" s="59">
        <f t="shared" si="29"/>
        <v>1</v>
      </c>
    </row>
    <row r="37" ht="12.0" customHeight="1">
      <c r="A37" s="57">
        <f t="shared" si="1"/>
        <v>35</v>
      </c>
      <c r="B37" s="60">
        <v>5.0</v>
      </c>
      <c r="C37" s="59">
        <f t="shared" ref="C37:C38" si="30">6-B37</f>
        <v>1</v>
      </c>
      <c r="D37" s="57">
        <f t="shared" si="2"/>
        <v>90</v>
      </c>
      <c r="E37" s="60">
        <v>2.0</v>
      </c>
      <c r="F37" s="59">
        <f t="shared" si="29"/>
        <v>2</v>
      </c>
    </row>
    <row r="38" ht="12.0" customHeight="1">
      <c r="A38" s="57">
        <f t="shared" si="1"/>
        <v>36</v>
      </c>
      <c r="B38" s="60">
        <v>5.0</v>
      </c>
      <c r="C38" s="59">
        <f t="shared" si="30"/>
        <v>1</v>
      </c>
      <c r="D38" s="57">
        <f t="shared" si="2"/>
        <v>91</v>
      </c>
      <c r="E38" s="60">
        <v>5.0</v>
      </c>
      <c r="F38" s="59">
        <f t="shared" ref="F38:F40" si="31">6-E38</f>
        <v>1</v>
      </c>
    </row>
    <row r="39" ht="12.0" customHeight="1">
      <c r="A39" s="57">
        <f t="shared" si="1"/>
        <v>37</v>
      </c>
      <c r="B39" s="60">
        <v>5.0</v>
      </c>
      <c r="C39" s="59">
        <f>0+B39</f>
        <v>5</v>
      </c>
      <c r="D39" s="57">
        <f t="shared" si="2"/>
        <v>92</v>
      </c>
      <c r="E39" s="60">
        <v>4.0</v>
      </c>
      <c r="F39" s="59">
        <f t="shared" si="31"/>
        <v>2</v>
      </c>
    </row>
    <row r="40" ht="12.0" customHeight="1">
      <c r="A40" s="57">
        <f t="shared" si="1"/>
        <v>38</v>
      </c>
      <c r="B40" s="60">
        <v>5.0</v>
      </c>
      <c r="C40" s="59">
        <f>6-B40</f>
        <v>1</v>
      </c>
      <c r="D40" s="57">
        <f t="shared" si="2"/>
        <v>93</v>
      </c>
      <c r="E40" s="60">
        <v>4.0</v>
      </c>
      <c r="F40" s="59">
        <f t="shared" si="31"/>
        <v>2</v>
      </c>
    </row>
    <row r="41" ht="12.0" customHeight="1">
      <c r="A41" s="57">
        <f t="shared" si="1"/>
        <v>39</v>
      </c>
      <c r="B41" s="60">
        <v>4.0</v>
      </c>
      <c r="C41" s="59">
        <f t="shared" ref="C41:C43" si="32">0+B41</f>
        <v>4</v>
      </c>
      <c r="D41" s="57">
        <f t="shared" si="2"/>
        <v>94</v>
      </c>
      <c r="E41" s="60">
        <v>3.0</v>
      </c>
      <c r="F41" s="59">
        <f t="shared" ref="F41:F43" si="33">0+E41</f>
        <v>3</v>
      </c>
    </row>
    <row r="42" ht="12.0" customHeight="1">
      <c r="A42" s="57">
        <f t="shared" si="1"/>
        <v>40</v>
      </c>
      <c r="B42" s="60">
        <v>1.0</v>
      </c>
      <c r="C42" s="59">
        <f t="shared" si="32"/>
        <v>1</v>
      </c>
      <c r="D42" s="57">
        <f t="shared" si="2"/>
        <v>95</v>
      </c>
      <c r="E42" s="60">
        <v>4.0</v>
      </c>
      <c r="F42" s="59">
        <f t="shared" si="33"/>
        <v>4</v>
      </c>
    </row>
    <row r="43" ht="12.0" customHeight="1">
      <c r="A43" s="57">
        <f t="shared" si="1"/>
        <v>41</v>
      </c>
      <c r="B43" s="60">
        <v>5.0</v>
      </c>
      <c r="C43" s="59">
        <f t="shared" si="32"/>
        <v>5</v>
      </c>
      <c r="D43" s="57">
        <f t="shared" si="2"/>
        <v>96</v>
      </c>
      <c r="E43" s="60">
        <v>5.0</v>
      </c>
      <c r="F43" s="59">
        <f t="shared" si="33"/>
        <v>5</v>
      </c>
    </row>
    <row r="44" ht="12.0" customHeight="1">
      <c r="A44" s="57">
        <f t="shared" si="1"/>
        <v>42</v>
      </c>
      <c r="B44" s="60">
        <v>5.0</v>
      </c>
      <c r="C44" s="59">
        <f t="shared" ref="C44:C45" si="34">6-B44</f>
        <v>1</v>
      </c>
      <c r="D44" s="57">
        <f t="shared" si="2"/>
        <v>97</v>
      </c>
      <c r="E44" s="60">
        <v>4.0</v>
      </c>
      <c r="F44" s="59">
        <f>6-E44</f>
        <v>2</v>
      </c>
    </row>
    <row r="45" ht="12.0" customHeight="1">
      <c r="A45" s="57">
        <f t="shared" si="1"/>
        <v>43</v>
      </c>
      <c r="B45" s="60">
        <v>5.0</v>
      </c>
      <c r="C45" s="59">
        <f t="shared" si="34"/>
        <v>1</v>
      </c>
      <c r="D45" s="57">
        <f t="shared" si="2"/>
        <v>98</v>
      </c>
      <c r="E45" s="60">
        <v>2.0</v>
      </c>
      <c r="F45" s="59">
        <f t="shared" ref="F45:F48" si="35">0+E45</f>
        <v>2</v>
      </c>
    </row>
    <row r="46" ht="12.0" customHeight="1">
      <c r="A46" s="57">
        <f t="shared" si="1"/>
        <v>44</v>
      </c>
      <c r="B46" s="60">
        <v>1.0</v>
      </c>
      <c r="C46" s="59">
        <f t="shared" ref="C46:C47" si="36">0+B46</f>
        <v>1</v>
      </c>
      <c r="D46" s="57">
        <f t="shared" si="2"/>
        <v>99</v>
      </c>
      <c r="E46" s="60">
        <v>4.0</v>
      </c>
      <c r="F46" s="59">
        <f t="shared" si="35"/>
        <v>4</v>
      </c>
    </row>
    <row r="47" ht="12.0" customHeight="1">
      <c r="A47" s="57">
        <f t="shared" si="1"/>
        <v>45</v>
      </c>
      <c r="B47" s="60">
        <v>1.0</v>
      </c>
      <c r="C47" s="59">
        <f t="shared" si="36"/>
        <v>1</v>
      </c>
      <c r="D47" s="57">
        <f t="shared" si="2"/>
        <v>100</v>
      </c>
      <c r="E47" s="60">
        <v>1.0</v>
      </c>
      <c r="F47" s="59">
        <f t="shared" si="35"/>
        <v>1</v>
      </c>
    </row>
    <row r="48" ht="12.0" customHeight="1">
      <c r="A48" s="57">
        <f t="shared" si="1"/>
        <v>46</v>
      </c>
      <c r="B48" s="60">
        <v>5.0</v>
      </c>
      <c r="C48" s="59">
        <f>6-B48</f>
        <v>1</v>
      </c>
      <c r="D48" s="57">
        <f t="shared" si="2"/>
        <v>101</v>
      </c>
      <c r="E48" s="60">
        <v>4.0</v>
      </c>
      <c r="F48" s="59">
        <f t="shared" si="35"/>
        <v>4</v>
      </c>
    </row>
    <row r="49" ht="12.0" customHeight="1">
      <c r="A49" s="57">
        <f t="shared" si="1"/>
        <v>47</v>
      </c>
      <c r="B49" s="60">
        <v>1.0</v>
      </c>
      <c r="C49" s="59">
        <f>0+B49</f>
        <v>1</v>
      </c>
      <c r="D49" s="57">
        <f t="shared" si="2"/>
        <v>102</v>
      </c>
      <c r="E49" s="60">
        <v>5.0</v>
      </c>
      <c r="F49" s="59">
        <f t="shared" ref="F49:F50" si="37">6-E49</f>
        <v>1</v>
      </c>
    </row>
    <row r="50" ht="12.0" customHeight="1">
      <c r="A50" s="57">
        <f t="shared" si="1"/>
        <v>48</v>
      </c>
      <c r="B50" s="60">
        <v>5.0</v>
      </c>
      <c r="C50" s="59">
        <f t="shared" ref="C50:C51" si="38">6-B50</f>
        <v>1</v>
      </c>
      <c r="D50" s="57">
        <f t="shared" si="2"/>
        <v>103</v>
      </c>
      <c r="E50" s="60">
        <v>5.0</v>
      </c>
      <c r="F50" s="59">
        <f t="shared" si="37"/>
        <v>1</v>
      </c>
    </row>
    <row r="51" ht="12.0" customHeight="1">
      <c r="A51" s="57">
        <f t="shared" si="1"/>
        <v>49</v>
      </c>
      <c r="B51" s="60">
        <v>4.0</v>
      </c>
      <c r="C51" s="59">
        <f t="shared" si="38"/>
        <v>2</v>
      </c>
      <c r="D51" s="57">
        <f t="shared" si="2"/>
        <v>104</v>
      </c>
      <c r="E51" s="60">
        <v>1.0</v>
      </c>
      <c r="F51" s="59">
        <f t="shared" ref="F51:F53" si="39">0+E51</f>
        <v>1</v>
      </c>
    </row>
    <row r="52" ht="12.0" customHeight="1">
      <c r="A52" s="57">
        <f t="shared" si="1"/>
        <v>50</v>
      </c>
      <c r="B52" s="60">
        <v>1.0</v>
      </c>
      <c r="C52" s="59">
        <f>0+B52</f>
        <v>1</v>
      </c>
      <c r="D52" s="57">
        <f t="shared" si="2"/>
        <v>105</v>
      </c>
      <c r="E52" s="60">
        <v>5.0</v>
      </c>
      <c r="F52" s="59">
        <f t="shared" si="39"/>
        <v>5</v>
      </c>
    </row>
    <row r="53" ht="12.0" customHeight="1">
      <c r="A53" s="57">
        <f t="shared" si="1"/>
        <v>51</v>
      </c>
      <c r="B53" s="60">
        <v>5.0</v>
      </c>
      <c r="C53" s="59">
        <f t="shared" ref="C53:C55" si="40">6-B53</f>
        <v>1</v>
      </c>
      <c r="D53" s="57">
        <f t="shared" si="2"/>
        <v>106</v>
      </c>
      <c r="E53" s="60">
        <v>1.0</v>
      </c>
      <c r="F53" s="59">
        <f t="shared" si="39"/>
        <v>1</v>
      </c>
    </row>
    <row r="54" ht="12.0" customHeight="1">
      <c r="A54" s="57">
        <f t="shared" si="1"/>
        <v>52</v>
      </c>
      <c r="B54" s="60">
        <v>2.0</v>
      </c>
      <c r="C54" s="59">
        <f t="shared" si="40"/>
        <v>4</v>
      </c>
      <c r="D54" s="57">
        <f t="shared" si="2"/>
        <v>107</v>
      </c>
      <c r="E54" s="60">
        <v>4.0</v>
      </c>
      <c r="F54" s="59">
        <f>6-E54</f>
        <v>2</v>
      </c>
    </row>
    <row r="55" ht="12.0" customHeight="1">
      <c r="A55" s="57">
        <f t="shared" si="1"/>
        <v>53</v>
      </c>
      <c r="B55" s="60">
        <v>5.0</v>
      </c>
      <c r="C55" s="59">
        <f t="shared" si="40"/>
        <v>1</v>
      </c>
      <c r="D55" s="57">
        <f t="shared" si="2"/>
        <v>108</v>
      </c>
      <c r="E55" s="60">
        <v>1.0</v>
      </c>
      <c r="F55" s="59">
        <f t="shared" ref="F55:F57" si="41">0+E55</f>
        <v>1</v>
      </c>
    </row>
    <row r="56" ht="12.0" customHeight="1">
      <c r="A56" s="57">
        <f t="shared" si="1"/>
        <v>54</v>
      </c>
      <c r="B56" s="60">
        <v>5.0</v>
      </c>
      <c r="C56" s="59">
        <f t="shared" ref="C56:C57" si="42">0+B56</f>
        <v>5</v>
      </c>
      <c r="D56" s="57">
        <f t="shared" si="2"/>
        <v>109</v>
      </c>
      <c r="E56" s="60">
        <v>1.0</v>
      </c>
      <c r="F56" s="59">
        <f t="shared" si="41"/>
        <v>1</v>
      </c>
    </row>
    <row r="57" ht="12.0" customHeight="1">
      <c r="A57" s="57">
        <f t="shared" si="1"/>
        <v>55</v>
      </c>
      <c r="B57" s="60">
        <v>2.0</v>
      </c>
      <c r="C57" s="59">
        <f t="shared" si="42"/>
        <v>2</v>
      </c>
      <c r="D57" s="57">
        <f t="shared" si="2"/>
        <v>110</v>
      </c>
      <c r="E57" s="60">
        <v>5.0</v>
      </c>
      <c r="F57" s="59">
        <f t="shared" si="41"/>
        <v>5</v>
      </c>
    </row>
    <row r="58" ht="12.0" customHeight="1">
      <c r="A58" s="62"/>
      <c r="B58" s="62"/>
      <c r="C58" s="64">
        <f>SUM(C3:C57)</f>
        <v>134</v>
      </c>
      <c r="F58" s="65">
        <f>SUM(F3:F57)</f>
        <v>135</v>
      </c>
    </row>
    <row r="59" ht="12.0" customHeight="1">
      <c r="AI59" s="10"/>
      <c r="AJ59" s="10"/>
      <c r="AK59" s="10"/>
      <c r="AL59" s="10"/>
      <c r="AM59" s="10"/>
      <c r="AN59" s="10"/>
      <c r="AO59" s="25"/>
      <c r="AP59" s="10"/>
    </row>
    <row r="60" ht="12.0" customHeight="1"/>
    <row r="61" ht="12.0" customHeight="1">
      <c r="BE61" s="66"/>
    </row>
    <row r="62" ht="12.0" customHeight="1">
      <c r="AX62" s="27" t="s">
        <v>23</v>
      </c>
      <c r="AY62" s="27">
        <v>122.0</v>
      </c>
      <c r="BE62" s="26"/>
    </row>
    <row r="63" ht="12.0" customHeight="1">
      <c r="AX63" s="27" t="s">
        <v>40</v>
      </c>
      <c r="AY63" s="27">
        <v>120.0</v>
      </c>
      <c r="BE63" s="67"/>
      <c r="BF63" s="10"/>
      <c r="BG63" s="10"/>
      <c r="BH63" s="10"/>
    </row>
    <row r="64" ht="12.0" customHeight="1">
      <c r="AX64" s="27" t="s">
        <v>39</v>
      </c>
      <c r="AY64" s="27">
        <v>116.0</v>
      </c>
      <c r="BE64" s="25"/>
    </row>
    <row r="65" ht="12.0" customHeight="1">
      <c r="AO65" s="67"/>
      <c r="AX65" s="27" t="s">
        <v>89</v>
      </c>
      <c r="AY65" s="27">
        <v>120.0</v>
      </c>
      <c r="BE65" s="26"/>
    </row>
    <row r="66" ht="12.0" customHeight="1">
      <c r="AO66" s="67"/>
      <c r="AX66" s="27" t="s">
        <v>38</v>
      </c>
      <c r="AY66" s="27">
        <v>106.0</v>
      </c>
    </row>
    <row r="67" ht="12.0" customHeight="1">
      <c r="AO67" s="68"/>
      <c r="AX67" s="27" t="s">
        <v>37</v>
      </c>
      <c r="AY67" s="27">
        <v>122.0</v>
      </c>
    </row>
    <row r="68" ht="12.0" customHeight="1">
      <c r="AX68" s="27" t="s">
        <v>90</v>
      </c>
      <c r="AY68" s="27">
        <v>121.0</v>
      </c>
    </row>
    <row r="69" ht="12.0" customHeight="1">
      <c r="AX69" s="27" t="s">
        <v>35</v>
      </c>
      <c r="AY69" s="27">
        <v>119.0</v>
      </c>
    </row>
    <row r="70" ht="12.0" customHeight="1">
      <c r="AX70" s="27" t="s">
        <v>34</v>
      </c>
      <c r="AY70" s="27">
        <v>125.0</v>
      </c>
    </row>
    <row r="71" ht="12.0" customHeight="1">
      <c r="AX71" s="27" t="s">
        <v>33</v>
      </c>
      <c r="AY71" s="27">
        <v>110.0</v>
      </c>
    </row>
    <row r="72" ht="12.0" customHeight="1">
      <c r="AX72" s="27" t="s">
        <v>10</v>
      </c>
      <c r="AY72" s="27">
        <v>122.0</v>
      </c>
    </row>
    <row r="73" ht="12.0" customHeight="1">
      <c r="AX73" s="27" t="s">
        <v>32</v>
      </c>
      <c r="AY73" s="27">
        <v>117.0</v>
      </c>
    </row>
    <row r="74" ht="12.0" customHeight="1">
      <c r="AX74" s="27" t="s">
        <v>31</v>
      </c>
      <c r="AY74" s="27">
        <v>124.0</v>
      </c>
    </row>
    <row r="75" ht="12.0" customHeight="1">
      <c r="AX75" s="27" t="s">
        <v>30</v>
      </c>
      <c r="AY75" s="27">
        <v>123.0</v>
      </c>
    </row>
    <row r="76" ht="12.0" customHeight="1">
      <c r="AX76" s="27" t="s">
        <v>91</v>
      </c>
      <c r="AY76" s="27">
        <v>126.0</v>
      </c>
    </row>
    <row r="77" ht="12.0" customHeight="1">
      <c r="AX77" s="27" t="s">
        <v>29</v>
      </c>
      <c r="AY77" s="27">
        <v>95.0</v>
      </c>
    </row>
    <row r="78" ht="12.0" customHeight="1">
      <c r="AX78" s="27" t="s">
        <v>28</v>
      </c>
      <c r="AY78" s="27">
        <v>122.0</v>
      </c>
    </row>
    <row r="79" ht="12.0" customHeight="1">
      <c r="AX79" s="27" t="s">
        <v>27</v>
      </c>
      <c r="AY79" s="27">
        <v>115.0</v>
      </c>
    </row>
    <row r="80" ht="12.0" customHeight="1">
      <c r="AX80" s="27" t="s">
        <v>26</v>
      </c>
      <c r="AY80" s="27">
        <v>104.0</v>
      </c>
    </row>
    <row r="81" ht="12.0" customHeight="1">
      <c r="AX81" s="27" t="s">
        <v>25</v>
      </c>
      <c r="AY81" s="27">
        <v>118.0</v>
      </c>
    </row>
    <row r="82" ht="12.0" customHeight="1">
      <c r="AX82" s="27" t="s">
        <v>24</v>
      </c>
      <c r="AY82" s="27">
        <v>114.0</v>
      </c>
    </row>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c r="N115" s="69"/>
    </row>
    <row r="116" ht="12.0" customHeight="1"/>
    <row r="117" ht="12.0" customHeight="1"/>
    <row r="118" ht="12.0" customHeight="1">
      <c r="N118" s="70"/>
    </row>
    <row r="119" ht="12.0" customHeight="1"/>
    <row r="120" ht="12.0" customHeight="1"/>
    <row r="121" ht="12.0" customHeight="1">
      <c r="A121" s="62"/>
      <c r="B121" s="62"/>
      <c r="C121" s="63"/>
    </row>
    <row r="122" ht="12.0" customHeight="1">
      <c r="A122" s="62"/>
      <c r="B122" s="62"/>
      <c r="C122" s="63"/>
    </row>
    <row r="123" ht="12.0" customHeight="1">
      <c r="A123" s="62"/>
      <c r="B123" s="62"/>
      <c r="C123" s="63"/>
    </row>
    <row r="124" ht="12.0" customHeight="1">
      <c r="A124" s="62"/>
      <c r="B124" s="62"/>
      <c r="C124" s="63"/>
    </row>
    <row r="125" ht="12.0" customHeight="1">
      <c r="A125" s="62"/>
      <c r="B125" s="62"/>
      <c r="C125" s="63"/>
    </row>
    <row r="126" ht="12.0" customHeight="1">
      <c r="A126" s="62"/>
      <c r="B126" s="62"/>
      <c r="C126" s="63"/>
    </row>
    <row r="127" ht="12.0" customHeight="1">
      <c r="A127" s="62"/>
      <c r="B127" s="62"/>
      <c r="C127" s="63"/>
    </row>
    <row r="128" ht="12.0" customHeight="1">
      <c r="A128" s="62"/>
      <c r="B128" s="62"/>
      <c r="C128" s="71"/>
    </row>
    <row r="129" ht="12.0" customHeight="1">
      <c r="A129" s="62"/>
      <c r="B129" s="62"/>
      <c r="C129" s="63"/>
    </row>
    <row r="130" ht="12.0" customHeight="1">
      <c r="A130" s="62"/>
      <c r="B130" s="62"/>
      <c r="C130" s="63"/>
    </row>
    <row r="131" ht="12.0" customHeight="1">
      <c r="A131" s="62"/>
      <c r="B131" s="62"/>
      <c r="C131" s="63"/>
    </row>
    <row r="132" ht="12.0" customHeight="1">
      <c r="A132" s="62"/>
      <c r="B132" s="62"/>
      <c r="C132" s="63"/>
    </row>
    <row r="133" ht="12.0" customHeight="1">
      <c r="A133" s="62"/>
      <c r="B133" s="62"/>
      <c r="C133" s="63"/>
    </row>
    <row r="134" ht="12.0" customHeight="1">
      <c r="A134" s="62"/>
      <c r="B134" s="62"/>
      <c r="C134" s="63"/>
    </row>
    <row r="135" ht="12.0" customHeight="1">
      <c r="A135" s="62"/>
      <c r="B135" s="62"/>
      <c r="C135" s="63"/>
    </row>
    <row r="136" ht="12.0" customHeight="1">
      <c r="C136" s="72"/>
    </row>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4">
    <mergeCell ref="BE61:BH61"/>
    <mergeCell ref="BE62:BH62"/>
    <mergeCell ref="BE64:BH64"/>
    <mergeCell ref="BE65:BH6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0"/>
  </cols>
  <sheetData>
    <row r="1" ht="12.0" customHeight="1"/>
    <row r="2" ht="12.0" customHeight="1">
      <c r="C2" s="73" t="s">
        <v>19</v>
      </c>
    </row>
    <row r="3" ht="12.0" customHeight="1"/>
    <row r="4" ht="12.0" customHeight="1"/>
    <row r="5" ht="12.0" customHeight="1"/>
    <row r="6" ht="12.0" customHeight="1"/>
    <row r="7" ht="12.0" customHeight="1"/>
    <row r="8" ht="12.0" customHeight="1">
      <c r="C8" s="72"/>
    </row>
    <row r="9" ht="12.0" customHeight="1">
      <c r="C9" s="74" t="s">
        <v>92</v>
      </c>
    </row>
    <row r="10" ht="12.0" customHeight="1">
      <c r="A10" s="75" t="s">
        <v>93</v>
      </c>
      <c r="B10" s="76">
        <f>'Plantilla de Correción'!B13</f>
        <v>1</v>
      </c>
      <c r="C10" s="76">
        <f>'Plantilla de Correción'!B26</f>
        <v>5</v>
      </c>
      <c r="D10" s="76">
        <f>'Plantilla de Correción'!B42</f>
        <v>1</v>
      </c>
      <c r="E10" s="76">
        <f>'Plantilla de Correción'!E3</f>
        <v>5</v>
      </c>
      <c r="F10" s="76">
        <f>'Plantilla de Correción'!E17</f>
        <v>5</v>
      </c>
      <c r="G10" s="76">
        <f>'Plantilla de Correción'!E32</f>
        <v>1</v>
      </c>
      <c r="H10" s="76">
        <f>'Plantilla de Correción'!E47</f>
        <v>1</v>
      </c>
      <c r="I10" s="76">
        <f>'Plantilla de Correción'!H6</f>
        <v>1</v>
      </c>
      <c r="J10" s="76">
        <f>'Plantilla de Correción'!H21</f>
        <v>1</v>
      </c>
      <c r="K10" s="26"/>
      <c r="L10" s="72"/>
      <c r="M10" s="72"/>
    </row>
    <row r="11" ht="12.0" customHeight="1">
      <c r="A11" s="75" t="s">
        <v>94</v>
      </c>
      <c r="B11" s="76">
        <f>'Plantilla de Correción'!B8</f>
        <v>4</v>
      </c>
      <c r="C11" s="76">
        <f>'Plantilla de Correción'!B23</f>
        <v>3</v>
      </c>
      <c r="D11" s="76">
        <f>'Plantilla de Correción'!B38</f>
        <v>5</v>
      </c>
      <c r="E11" s="76">
        <f>'Plantilla de Correción'!B53</f>
        <v>5</v>
      </c>
      <c r="F11" s="76">
        <f>'Plantilla de Correción'!E13</f>
        <v>4</v>
      </c>
      <c r="G11" s="76">
        <f>'Plantilla de Correción'!E30</f>
        <v>5</v>
      </c>
      <c r="H11" s="76">
        <f>'Plantilla de Correción'!E42</f>
        <v>4</v>
      </c>
      <c r="I11" s="76">
        <f>'Plantilla de Correción'!E57</f>
        <v>5</v>
      </c>
      <c r="J11" s="76">
        <f>'Plantilla de Correción'!E17</f>
        <v>5</v>
      </c>
      <c r="K11" s="26"/>
    </row>
    <row r="12" ht="12.0" customHeight="1">
      <c r="A12" s="75" t="s">
        <v>95</v>
      </c>
      <c r="B12" s="76">
        <f>'Plantilla de Correción'!B12</f>
        <v>3</v>
      </c>
      <c r="C12" s="76">
        <f>'Plantilla de Correción'!B25</f>
        <v>2</v>
      </c>
      <c r="D12" s="76">
        <f>'Plantilla de Correción'!B33</f>
        <v>3</v>
      </c>
      <c r="E12" s="76">
        <f>'Plantilla de Correción'!B41</f>
        <v>4</v>
      </c>
      <c r="F12" s="76">
        <f>'Plantilla de Correción'!B57</f>
        <v>2</v>
      </c>
      <c r="G12" s="76">
        <f>'Plantilla de Correción'!E9</f>
        <v>5</v>
      </c>
      <c r="H12" s="76">
        <f>'Plantilla de Correción'!E16</f>
        <v>3</v>
      </c>
      <c r="I12" s="76">
        <f>'Plantilla de Correción'!E31</f>
        <v>2</v>
      </c>
      <c r="J12" s="76">
        <f>'Plantilla de Correción'!E46</f>
        <v>4</v>
      </c>
      <c r="K12" s="76">
        <f>'Plantilla de Correción'!H5</f>
        <v>1</v>
      </c>
      <c r="L12" s="77">
        <f>'Plantilla de Correción'!H20</f>
        <v>2</v>
      </c>
    </row>
    <row r="13" ht="12.0" customHeight="1">
      <c r="A13" s="75" t="s">
        <v>96</v>
      </c>
      <c r="B13" s="76">
        <f>'Plantilla de Correción'!B18</f>
        <v>2</v>
      </c>
      <c r="C13" s="76">
        <f>'Plantilla de Correción'!B32</f>
        <v>3</v>
      </c>
      <c r="D13" s="76">
        <f>'Plantilla de Correción'!B48</f>
        <v>5</v>
      </c>
      <c r="E13" s="76">
        <f>'Plantilla de Correción'!E8</f>
        <v>4</v>
      </c>
      <c r="F13" s="76">
        <f>'Plantilla de Correción'!E19</f>
        <v>2</v>
      </c>
      <c r="G13" s="76">
        <f>'Plantilla de Correción'!E23</f>
        <v>2</v>
      </c>
      <c r="H13" s="76">
        <f>'Plantilla de Correción'!E37</f>
        <v>2</v>
      </c>
      <c r="I13" s="76">
        <f>'Plantilla de Correción'!E45</f>
        <v>2</v>
      </c>
      <c r="J13" s="76">
        <f>'Plantilla de Correción'!E51</f>
        <v>1</v>
      </c>
      <c r="K13" s="76">
        <f>'Plantilla de Correción'!H11</f>
        <v>1</v>
      </c>
    </row>
    <row r="14" ht="12.0" customHeight="1">
      <c r="A14" s="75" t="s">
        <v>97</v>
      </c>
      <c r="B14" s="76">
        <f>'Plantilla de Correción'!B10</f>
        <v>5</v>
      </c>
      <c r="C14" s="76">
        <f>'Plantilla de Correción'!B37</f>
        <v>5</v>
      </c>
      <c r="D14" s="76">
        <f>'Plantilla de Correción'!B40</f>
        <v>5</v>
      </c>
      <c r="E14" s="76">
        <f>'Plantilla de Correción'!B55</f>
        <v>5</v>
      </c>
      <c r="F14" s="76">
        <f>'Plantilla de Correción'!E15</f>
        <v>5</v>
      </c>
      <c r="G14" s="76">
        <f>'Plantilla de Correción'!E30</f>
        <v>5</v>
      </c>
      <c r="H14" s="76">
        <f>'Plantilla de Correción'!E35</f>
        <v>5</v>
      </c>
      <c r="I14" s="76">
        <f>'Plantilla de Correción'!E44</f>
        <v>4</v>
      </c>
      <c r="J14" s="76">
        <f>'Plantilla de Correción'!H4</f>
        <v>5</v>
      </c>
      <c r="K14" s="76">
        <f>'Plantilla de Correción'!H19</f>
        <v>2</v>
      </c>
    </row>
    <row r="15" ht="12.0" customHeight="1">
      <c r="A15" s="75" t="s">
        <v>98</v>
      </c>
      <c r="B15" s="76">
        <f>'Plantilla de Correción'!B6</f>
        <v>1</v>
      </c>
      <c r="C15" s="76">
        <f>'Plantilla de Correción'!B22</f>
        <v>5</v>
      </c>
      <c r="D15" s="76">
        <f>'Plantilla de Correción'!B35</f>
        <v>1</v>
      </c>
      <c r="E15" s="76">
        <f>'Plantilla de Correción'!B51</f>
        <v>4</v>
      </c>
      <c r="F15" s="76">
        <f>'Plantilla de Correción'!E11</f>
        <v>5</v>
      </c>
      <c r="G15" s="76">
        <f>'Plantilla de Correción'!E25</f>
        <v>1</v>
      </c>
      <c r="H15" s="76">
        <f>'Plantilla de Correción'!E40</f>
        <v>4</v>
      </c>
      <c r="I15" s="76">
        <f>'Plantilla de Correción'!E55</f>
        <v>1</v>
      </c>
      <c r="J15" s="76">
        <f>'Plantilla de Correción'!H14</f>
        <v>4</v>
      </c>
      <c r="K15" s="16"/>
    </row>
    <row r="16" ht="12.0" customHeight="1">
      <c r="A16" s="75" t="s">
        <v>99</v>
      </c>
      <c r="B16" s="76">
        <f>'Plantilla de Correción'!B15</f>
        <v>5</v>
      </c>
      <c r="C16" s="76">
        <f>'Plantilla de Correción'!B29</f>
        <v>2</v>
      </c>
      <c r="D16" s="76">
        <f>'Plantilla de Correción'!B44</f>
        <v>5</v>
      </c>
      <c r="E16" s="76">
        <f>'Plantilla de Correción'!E5</f>
        <v>5</v>
      </c>
      <c r="F16" s="76">
        <f>'Plantilla de Correción'!E20</f>
        <v>5</v>
      </c>
      <c r="G16" s="76">
        <f>'Plantilla de Correción'!E33</f>
        <v>5</v>
      </c>
      <c r="H16" s="76">
        <f>'Plantilla de Correción'!E49</f>
        <v>5</v>
      </c>
      <c r="I16" s="76">
        <f>'Plantilla de Correción'!H9</f>
        <v>5</v>
      </c>
      <c r="J16" s="76">
        <f>'Plantilla de Correción'!H22</f>
        <v>4</v>
      </c>
      <c r="K16" s="16"/>
    </row>
    <row r="17" ht="12.0" customHeight="1">
      <c r="A17" s="75" t="s">
        <v>100</v>
      </c>
      <c r="B17" s="78">
        <f>'Plantilla de Correción'!B4</f>
        <v>5</v>
      </c>
      <c r="C17" s="78">
        <f>'Plantilla de Correción'!B19</f>
        <v>3</v>
      </c>
      <c r="D17" s="78">
        <f>'Plantilla de Correción'!B33</f>
        <v>3</v>
      </c>
      <c r="E17" s="78">
        <f>'Plantilla de Correción'!B49</f>
        <v>1</v>
      </c>
      <c r="F17" s="78">
        <f>'Plantilla de Correción'!E9</f>
        <v>5</v>
      </c>
      <c r="G17" s="78">
        <f>'Plantilla de Correción'!E24</f>
        <v>5</v>
      </c>
      <c r="H17" s="78">
        <f>'Plantilla de Correción'!E38</f>
        <v>5</v>
      </c>
      <c r="I17" s="78">
        <f>'Plantilla de Correción'!E52</f>
        <v>5</v>
      </c>
      <c r="J17" s="78">
        <f>'Plantilla de Correción'!H12</f>
        <v>4</v>
      </c>
      <c r="K17" s="16"/>
    </row>
    <row r="18" ht="12.0" customHeight="1"/>
    <row r="19" ht="12.0" customHeight="1"/>
    <row r="20" ht="12.0" customHeight="1">
      <c r="C20" s="74" t="s">
        <v>101</v>
      </c>
    </row>
    <row r="21" ht="12.0" customHeight="1">
      <c r="A21" s="75" t="s">
        <v>102</v>
      </c>
      <c r="B21" s="78">
        <f>'Plantilla de Correción'!B9</f>
        <v>5</v>
      </c>
      <c r="C21" s="78">
        <f>'Plantilla de Correción'!B11</f>
        <v>5</v>
      </c>
      <c r="D21" s="78">
        <f>'Plantilla de Correción'!B25</f>
        <v>2</v>
      </c>
      <c r="E21" s="78">
        <f>'Plantilla de Correción'!B37</f>
        <v>5</v>
      </c>
      <c r="F21" s="78">
        <f>'Plantilla de Correción'!B54</f>
        <v>2</v>
      </c>
      <c r="G21" s="78">
        <f>'Plantilla de Correción'!E10</f>
        <v>5</v>
      </c>
      <c r="H21" s="78">
        <f>'Plantilla de Correción'!E35</f>
        <v>5</v>
      </c>
      <c r="I21" s="78">
        <f>'Plantilla de Correción'!H8</f>
        <v>4</v>
      </c>
    </row>
    <row r="22" ht="12.0" customHeight="1">
      <c r="A22" s="75" t="s">
        <v>103</v>
      </c>
      <c r="B22" s="78">
        <f>'Plantilla de Correción'!B20</f>
        <v>5</v>
      </c>
      <c r="C22" s="78">
        <f>'Plantilla de Correción'!B46</f>
        <v>1</v>
      </c>
      <c r="D22" s="78">
        <f>'Plantilla de Correción'!B57</f>
        <v>2</v>
      </c>
      <c r="E22" s="78">
        <f>'Plantilla de Correción'!E8</f>
        <v>4</v>
      </c>
      <c r="F22" s="78">
        <f>'Plantilla de Correción'!E19</f>
        <v>2</v>
      </c>
      <c r="G22" s="78">
        <f>'Plantilla de Correción'!E45</f>
        <v>2</v>
      </c>
      <c r="H22" s="78">
        <f>'Plantilla de Correción'!H11</f>
        <v>1</v>
      </c>
      <c r="I22" s="78">
        <f>'Plantilla de Correción'!H16</f>
        <v>4</v>
      </c>
    </row>
    <row r="23" ht="12.0" customHeight="1">
      <c r="A23" s="75" t="s">
        <v>104</v>
      </c>
      <c r="B23" s="78">
        <f>'Plantilla de Correción'!B16</f>
        <v>5</v>
      </c>
      <c r="C23" s="78">
        <f>'Plantilla de Correción'!B30</f>
        <v>5</v>
      </c>
      <c r="D23" s="78">
        <f>'Plantilla de Correción'!B45</f>
        <v>5</v>
      </c>
      <c r="E23" s="78">
        <f>'Plantilla de Correción'!E6</f>
        <v>1</v>
      </c>
      <c r="F23" s="78">
        <f>'Plantilla de Correción'!E21</f>
        <v>2</v>
      </c>
      <c r="G23" s="78">
        <f>'Plantilla de Correción'!E34</f>
        <v>5</v>
      </c>
      <c r="H23" s="78">
        <f>'Plantilla de Correción'!E50</f>
        <v>5</v>
      </c>
      <c r="I23" s="78">
        <f>'Plantilla de Correción'!H25</f>
        <v>4</v>
      </c>
    </row>
    <row r="24" ht="12.0" customHeight="1">
      <c r="A24" s="75" t="s">
        <v>105</v>
      </c>
      <c r="B24" s="76">
        <f>'Plantilla de Correción'!B3</f>
        <v>3</v>
      </c>
      <c r="C24" s="78">
        <f>'Plantilla de Correción'!B17</f>
        <v>2</v>
      </c>
      <c r="D24" s="78">
        <f>'Plantilla de Correción'!B31</f>
        <v>4</v>
      </c>
      <c r="E24" s="78">
        <f>'Plantilla de Correción'!B47</f>
        <v>1</v>
      </c>
      <c r="F24" s="78">
        <f>'Plantilla de Correción'!E7</f>
        <v>1</v>
      </c>
      <c r="G24" s="78">
        <f>'Plantilla de Correción'!E22</f>
        <v>1</v>
      </c>
      <c r="H24" s="78">
        <f>'Plantilla de Correción'!E36</f>
        <v>1</v>
      </c>
      <c r="I24" s="78">
        <f>'Plantilla de Correción'!H10</f>
        <v>5</v>
      </c>
    </row>
    <row r="25" ht="12.0" customHeight="1">
      <c r="A25" s="75" t="s">
        <v>106</v>
      </c>
      <c r="B25" s="78">
        <f>'Plantilla de Correción'!B13</f>
        <v>1</v>
      </c>
      <c r="C25" s="78">
        <f>'Plantilla de Correción'!B22</f>
        <v>5</v>
      </c>
      <c r="D25" s="78">
        <f>'Plantilla de Correción'!B28</f>
        <v>2</v>
      </c>
      <c r="E25" s="78">
        <f>'Plantilla de Correción'!B56</f>
        <v>5</v>
      </c>
      <c r="F25" s="78">
        <f>'Plantilla de Correción'!E27</f>
        <v>1</v>
      </c>
      <c r="G25" s="78">
        <f>'Plantilla de Correción'!E53</f>
        <v>1</v>
      </c>
      <c r="H25" s="78">
        <f>'Plantilla de Correción'!E55</f>
        <v>1</v>
      </c>
      <c r="I25" s="78">
        <f>'Plantilla de Correción'!H24</f>
        <v>4</v>
      </c>
    </row>
    <row r="26" ht="12.0" customHeight="1"/>
    <row r="27" ht="12.0" customHeight="1">
      <c r="C27" s="74" t="s">
        <v>107</v>
      </c>
    </row>
    <row r="28" ht="12.0" customHeight="1">
      <c r="A28" s="75" t="s">
        <v>108</v>
      </c>
      <c r="B28" s="78">
        <f>'Plantilla de Correción'!B24</f>
        <v>1</v>
      </c>
      <c r="C28" s="78">
        <f>'Plantilla de Correción'!B39</f>
        <v>5</v>
      </c>
      <c r="D28" s="78">
        <f>'Plantilla de Correción'!E14</f>
        <v>5</v>
      </c>
      <c r="E28" s="78">
        <f>'Plantilla de Correción'!E29</f>
        <v>5</v>
      </c>
      <c r="F28" s="78">
        <f>'Plantilla de Correción'!E43</f>
        <v>5</v>
      </c>
      <c r="G28" s="78">
        <f>'Plantilla de Correción'!H3</f>
        <v>4</v>
      </c>
      <c r="H28" s="78">
        <f>'Plantilla de Correción'!H18</f>
        <v>5</v>
      </c>
    </row>
    <row r="29" ht="12.0" customHeight="1">
      <c r="A29" s="75" t="s">
        <v>109</v>
      </c>
      <c r="B29" s="78">
        <f>'Plantilla de Correción'!B5</f>
        <v>3</v>
      </c>
      <c r="C29" s="78">
        <f>'Plantilla de Correción'!B21</f>
        <v>5</v>
      </c>
      <c r="D29" s="78">
        <f>'Plantilla de Correción'!B34</f>
        <v>2</v>
      </c>
      <c r="E29" s="78">
        <f>'Plantilla de Correción'!B50</f>
        <v>5</v>
      </c>
      <c r="F29" s="78">
        <f>'Plantilla de Correción'!E9</f>
        <v>5</v>
      </c>
      <c r="G29" s="78">
        <f>'Plantilla de Correción'!E54</f>
        <v>4</v>
      </c>
      <c r="H29" s="78">
        <f>'Plantilla de Correción'!H13</f>
        <v>5</v>
      </c>
    </row>
    <row r="30" ht="12.0" customHeight="1"/>
    <row r="31" ht="12.0" customHeight="1"/>
    <row r="32" ht="12.0" customHeight="1"/>
    <row r="33" ht="12.0" customHeight="1"/>
    <row r="34" ht="12.0" customHeight="1">
      <c r="D34" s="16" t="s">
        <v>110</v>
      </c>
    </row>
    <row r="35" ht="12.0" customHeight="1">
      <c r="D35" s="74" t="s">
        <v>111</v>
      </c>
    </row>
    <row r="36" ht="12.0" customHeight="1">
      <c r="B36" s="79">
        <f>'Plantilla de Correción'!C25</f>
        <v>4</v>
      </c>
      <c r="C36" s="80">
        <f>'Plantilla de Correción'!C34</f>
        <v>4</v>
      </c>
      <c r="D36" s="79">
        <f>'Plantilla de Correción'!C43</f>
        <v>5</v>
      </c>
      <c r="E36" s="80">
        <f>'Plantilla de Correción'!C49</f>
        <v>1</v>
      </c>
      <c r="F36" s="79">
        <f>'Plantilla de Correción'!F3</f>
        <v>1</v>
      </c>
      <c r="G36" s="80">
        <f>'Plantilla de Correción'!F7</f>
        <v>1</v>
      </c>
      <c r="H36" s="79">
        <f>'Plantilla de Correción'!F32</f>
        <v>1</v>
      </c>
      <c r="I36" s="80">
        <f>'Plantilla de Correción'!F34</f>
        <v>1</v>
      </c>
      <c r="J36" s="79">
        <f>'Plantilla de Correción'!F47</f>
        <v>1</v>
      </c>
      <c r="K36" s="81">
        <f>'Plantilla de Correción'!I9</f>
        <v>1</v>
      </c>
    </row>
    <row r="37" ht="12.0" customHeight="1">
      <c r="B37" s="82">
        <f>'Plantilla de Correción'!C54</f>
        <v>4</v>
      </c>
      <c r="C37" s="83">
        <f>'Plantilla de Correción'!C50</f>
        <v>1</v>
      </c>
      <c r="D37" s="82">
        <f>'Plantilla de Correción'!F48</f>
        <v>4</v>
      </c>
      <c r="E37" s="83">
        <f>'Plantilla de Correción'!F38</f>
        <v>1</v>
      </c>
      <c r="F37" s="82">
        <f>'Plantilla de Correción'!F17</f>
        <v>1</v>
      </c>
      <c r="G37" s="83">
        <f>'Plantilla de Correción'!F36</f>
        <v>1</v>
      </c>
      <c r="H37" s="82">
        <f>'Plantilla de Correción'!I21</f>
        <v>1</v>
      </c>
      <c r="I37" s="83">
        <f>'Plantilla de Correción'!F50</f>
        <v>1</v>
      </c>
      <c r="J37" s="82">
        <f>'Plantilla de Correción'!I6</f>
        <v>1</v>
      </c>
      <c r="K37" s="84">
        <f>'Plantilla de Correción'!I22</f>
        <v>2</v>
      </c>
    </row>
    <row r="38" ht="12.0" customHeight="1">
      <c r="B38" s="76">
        <f t="shared" ref="B38:K38" si="1">SUM(B36-B37)</f>
        <v>0</v>
      </c>
      <c r="C38" s="76">
        <f t="shared" si="1"/>
        <v>3</v>
      </c>
      <c r="D38" s="76">
        <f t="shared" si="1"/>
        <v>1</v>
      </c>
      <c r="E38" s="76">
        <f t="shared" si="1"/>
        <v>0</v>
      </c>
      <c r="F38" s="76">
        <f t="shared" si="1"/>
        <v>0</v>
      </c>
      <c r="G38" s="76">
        <f t="shared" si="1"/>
        <v>0</v>
      </c>
      <c r="H38" s="76">
        <f t="shared" si="1"/>
        <v>0</v>
      </c>
      <c r="I38" s="76">
        <f t="shared" si="1"/>
        <v>0</v>
      </c>
      <c r="J38" s="76">
        <f t="shared" si="1"/>
        <v>0</v>
      </c>
      <c r="K38" s="76">
        <f t="shared" si="1"/>
        <v>-1</v>
      </c>
    </row>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6">
    <mergeCell ref="C2:I3"/>
    <mergeCell ref="C9:J9"/>
    <mergeCell ref="C20:J20"/>
    <mergeCell ref="C27:J27"/>
    <mergeCell ref="D34:J34"/>
    <mergeCell ref="D35:J3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1.43"/>
    <col customWidth="1" min="9" max="26" width="10.0"/>
  </cols>
  <sheetData>
    <row r="1">
      <c r="A1" s="85" t="s">
        <v>112</v>
      </c>
      <c r="B1" s="30"/>
      <c r="C1" s="30"/>
      <c r="D1" s="30"/>
      <c r="E1" s="30"/>
      <c r="F1" s="30"/>
      <c r="G1" s="30"/>
      <c r="H1" s="31"/>
      <c r="I1" s="86"/>
      <c r="J1" s="86"/>
      <c r="K1" s="86"/>
      <c r="L1" s="86"/>
      <c r="M1" s="86"/>
      <c r="N1" s="86"/>
      <c r="O1" s="86"/>
      <c r="P1" s="86"/>
      <c r="Q1" s="86"/>
      <c r="R1" s="86"/>
      <c r="S1" s="86"/>
      <c r="T1" s="86"/>
      <c r="U1" s="86"/>
      <c r="V1" s="86"/>
      <c r="W1" s="86"/>
      <c r="X1" s="86"/>
      <c r="Y1" s="86"/>
      <c r="Z1" s="86"/>
    </row>
    <row r="2">
      <c r="A2" s="32"/>
      <c r="B2" s="33"/>
      <c r="C2" s="33"/>
      <c r="D2" s="33"/>
      <c r="E2" s="33"/>
      <c r="F2" s="33"/>
      <c r="G2" s="33"/>
      <c r="H2" s="34"/>
      <c r="I2" s="86"/>
      <c r="J2" s="86"/>
      <c r="K2" s="86"/>
      <c r="L2" s="86"/>
      <c r="M2" s="86"/>
      <c r="N2" s="86"/>
      <c r="O2" s="86"/>
      <c r="P2" s="86"/>
      <c r="Q2" s="86"/>
      <c r="R2" s="86"/>
      <c r="S2" s="86"/>
      <c r="T2" s="86"/>
      <c r="U2" s="86"/>
      <c r="V2" s="86"/>
      <c r="W2" s="86"/>
      <c r="X2" s="86"/>
      <c r="Y2" s="86"/>
      <c r="Z2" s="86"/>
    </row>
    <row r="3">
      <c r="A3" s="87"/>
      <c r="B3" s="87"/>
      <c r="C3" s="88"/>
      <c r="D3" s="86"/>
      <c r="E3" s="86"/>
      <c r="F3" s="86"/>
      <c r="G3" s="86"/>
      <c r="H3" s="86"/>
      <c r="I3" s="86"/>
      <c r="J3" s="86"/>
      <c r="K3" s="86"/>
      <c r="L3" s="86"/>
      <c r="M3" s="86"/>
      <c r="N3" s="86"/>
      <c r="O3" s="86"/>
      <c r="P3" s="86"/>
      <c r="Q3" s="86"/>
      <c r="R3" s="86"/>
      <c r="S3" s="86"/>
      <c r="T3" s="86"/>
      <c r="U3" s="86"/>
      <c r="V3" s="86"/>
      <c r="W3" s="86"/>
      <c r="X3" s="86"/>
      <c r="Y3" s="86"/>
      <c r="Z3" s="86"/>
    </row>
    <row r="4" ht="21.0" customHeight="1">
      <c r="A4" s="89" t="s">
        <v>113</v>
      </c>
      <c r="B4" s="4"/>
      <c r="C4" s="90" t="str">
        <f>+'Datos de Filiación'!E7</f>
        <v/>
      </c>
      <c r="D4" s="4"/>
      <c r="E4" s="4"/>
      <c r="F4" s="91" t="str">
        <f>+'Datos de Filiación'!E9</f>
        <v/>
      </c>
      <c r="G4" s="4"/>
      <c r="H4" s="5"/>
      <c r="I4" s="86"/>
      <c r="J4" s="86"/>
      <c r="K4" s="86"/>
      <c r="L4" s="86"/>
      <c r="M4" s="86"/>
      <c r="N4" s="86"/>
      <c r="O4" s="86"/>
      <c r="P4" s="86"/>
      <c r="Q4" s="86"/>
      <c r="R4" s="86"/>
      <c r="S4" s="86"/>
      <c r="T4" s="86"/>
      <c r="U4" s="86"/>
      <c r="V4" s="86"/>
      <c r="W4" s="86"/>
      <c r="X4" s="86"/>
      <c r="Y4" s="86"/>
      <c r="Z4" s="86"/>
    </row>
    <row r="5" ht="21.0" customHeight="1">
      <c r="A5" s="92" t="s">
        <v>114</v>
      </c>
      <c r="C5" s="93" t="str">
        <f>+'Datos de Filiación'!E11</f>
        <v/>
      </c>
      <c r="E5" s="94"/>
      <c r="F5" s="94" t="s">
        <v>78</v>
      </c>
      <c r="G5" s="95" t="str">
        <f>+'Datos de Filiación'!E13</f>
        <v>13 AÑOS</v>
      </c>
      <c r="H5" s="96"/>
      <c r="I5" s="86"/>
      <c r="J5" s="86"/>
      <c r="K5" s="86"/>
      <c r="L5" s="86"/>
      <c r="M5" s="86"/>
      <c r="N5" s="86"/>
      <c r="O5" s="86"/>
      <c r="P5" s="86"/>
      <c r="Q5" s="86"/>
      <c r="R5" s="86"/>
      <c r="S5" s="86"/>
      <c r="T5" s="86"/>
      <c r="U5" s="86"/>
      <c r="V5" s="86"/>
      <c r="W5" s="86"/>
      <c r="X5" s="86"/>
      <c r="Y5" s="86"/>
      <c r="Z5" s="86"/>
    </row>
    <row r="6" ht="21.0" customHeight="1">
      <c r="A6" s="92" t="s">
        <v>115</v>
      </c>
      <c r="C6" s="93" t="str">
        <f>+'Datos de Filiación'!E15</f>
        <v>MASCULINO</v>
      </c>
      <c r="E6" s="94"/>
      <c r="F6" s="94" t="s">
        <v>116</v>
      </c>
      <c r="G6" s="97" t="str">
        <f>+'Datos de Filiación'!E17</f>
        <v>ESTUDIANTE</v>
      </c>
      <c r="H6" s="96"/>
      <c r="I6" s="86"/>
      <c r="J6" s="86"/>
      <c r="K6" s="86"/>
      <c r="L6" s="86"/>
      <c r="M6" s="86"/>
      <c r="N6" s="86"/>
      <c r="O6" s="86"/>
      <c r="P6" s="86"/>
      <c r="Q6" s="86"/>
      <c r="R6" s="86"/>
      <c r="S6" s="86"/>
      <c r="T6" s="86"/>
      <c r="U6" s="86"/>
      <c r="V6" s="86"/>
      <c r="W6" s="86"/>
      <c r="X6" s="86"/>
      <c r="Y6" s="86"/>
      <c r="Z6" s="86"/>
    </row>
    <row r="7" ht="21.0" customHeight="1">
      <c r="A7" s="98" t="s">
        <v>84</v>
      </c>
      <c r="B7" s="99"/>
      <c r="C7" s="100">
        <v>37545.0</v>
      </c>
      <c r="D7" s="8"/>
      <c r="E7" s="101"/>
      <c r="F7" s="101" t="s">
        <v>117</v>
      </c>
      <c r="G7" s="100">
        <f>NOW()</f>
        <v>45092.82018</v>
      </c>
      <c r="H7" s="9"/>
      <c r="I7" s="86"/>
      <c r="J7" s="86"/>
      <c r="K7" s="86"/>
      <c r="L7" s="86"/>
      <c r="M7" s="86"/>
      <c r="N7" s="86"/>
      <c r="O7" s="86"/>
      <c r="P7" s="86"/>
      <c r="Q7" s="86"/>
      <c r="R7" s="86"/>
      <c r="S7" s="86"/>
      <c r="T7" s="86"/>
      <c r="U7" s="86"/>
      <c r="V7" s="86"/>
      <c r="W7" s="86"/>
      <c r="X7" s="86"/>
      <c r="Y7" s="86"/>
      <c r="Z7" s="86"/>
    </row>
    <row r="8">
      <c r="A8" s="102"/>
      <c r="B8" s="102"/>
      <c r="C8" s="103"/>
      <c r="D8" s="86"/>
      <c r="E8" s="86"/>
      <c r="F8" s="86"/>
      <c r="G8" s="86"/>
      <c r="H8" s="86"/>
      <c r="I8" s="86"/>
      <c r="J8" s="86"/>
      <c r="K8" s="86"/>
      <c r="L8" s="86"/>
      <c r="M8" s="86"/>
      <c r="N8" s="86"/>
      <c r="O8" s="86"/>
      <c r="P8" s="86"/>
      <c r="Q8" s="86"/>
      <c r="R8" s="86"/>
      <c r="S8" s="86"/>
      <c r="T8" s="86"/>
      <c r="U8" s="86"/>
      <c r="V8" s="86"/>
      <c r="W8" s="86"/>
      <c r="X8" s="86"/>
      <c r="Y8" s="86"/>
      <c r="Z8" s="86"/>
    </row>
    <row r="9">
      <c r="A9" s="102"/>
      <c r="B9" s="102"/>
      <c r="C9" s="103"/>
      <c r="D9" s="86"/>
      <c r="E9" s="86"/>
      <c r="F9" s="86"/>
      <c r="G9" s="86"/>
      <c r="H9" s="86"/>
      <c r="I9" s="86"/>
      <c r="J9" s="86"/>
      <c r="K9" s="86"/>
      <c r="L9" s="86"/>
      <c r="M9" s="86"/>
      <c r="N9" s="86"/>
      <c r="O9" s="86"/>
      <c r="P9" s="86"/>
      <c r="Q9" s="86"/>
      <c r="R9" s="86"/>
      <c r="S9" s="86"/>
      <c r="T9" s="86"/>
      <c r="U9" s="86"/>
      <c r="V9" s="86"/>
      <c r="W9" s="86"/>
      <c r="X9" s="86"/>
      <c r="Y9" s="86"/>
      <c r="Z9" s="86"/>
    </row>
    <row r="10">
      <c r="A10" s="87"/>
      <c r="B10" s="87"/>
      <c r="C10" s="88"/>
      <c r="D10" s="86"/>
      <c r="E10" s="86"/>
      <c r="F10" s="86"/>
      <c r="G10" s="86"/>
      <c r="H10" s="86"/>
      <c r="I10" s="86"/>
      <c r="J10" s="86"/>
      <c r="K10" s="86"/>
      <c r="L10" s="86"/>
      <c r="M10" s="86"/>
      <c r="N10" s="86"/>
      <c r="O10" s="86"/>
      <c r="P10" s="86"/>
      <c r="Q10" s="86"/>
      <c r="R10" s="86"/>
      <c r="S10" s="86"/>
      <c r="T10" s="86"/>
      <c r="U10" s="86"/>
      <c r="V10" s="86"/>
      <c r="W10" s="86"/>
      <c r="X10" s="86"/>
      <c r="Y10" s="86"/>
      <c r="Z10" s="86"/>
    </row>
    <row r="11">
      <c r="A11" s="87"/>
      <c r="B11" s="87"/>
      <c r="C11" s="104" t="s">
        <v>23</v>
      </c>
      <c r="D11" s="36"/>
      <c r="E11" s="37"/>
      <c r="F11" s="105">
        <f>Hoja4!J6</f>
        <v>41.69533907</v>
      </c>
      <c r="G11" s="86"/>
      <c r="H11" s="86"/>
      <c r="I11" s="86"/>
      <c r="J11" s="86"/>
      <c r="K11" s="86"/>
      <c r="L11" s="86"/>
      <c r="M11" s="86"/>
      <c r="N11" s="86"/>
      <c r="O11" s="86"/>
      <c r="P11" s="86"/>
      <c r="Q11" s="86"/>
      <c r="R11" s="86"/>
      <c r="S11" s="86"/>
      <c r="T11" s="86"/>
      <c r="U11" s="86"/>
      <c r="V11" s="86"/>
      <c r="W11" s="86"/>
      <c r="X11" s="86"/>
      <c r="Y11" s="86"/>
      <c r="Z11" s="86"/>
    </row>
    <row r="12">
      <c r="A12" s="87"/>
      <c r="B12" s="87"/>
      <c r="C12" s="106" t="s">
        <v>40</v>
      </c>
      <c r="D12" s="36"/>
      <c r="E12" s="37"/>
      <c r="F12" s="105">
        <f>Hoja4!J26</f>
        <v>49.61883408</v>
      </c>
      <c r="G12" s="86"/>
      <c r="H12" s="86"/>
      <c r="I12" s="86"/>
      <c r="J12" s="86"/>
      <c r="K12" s="86"/>
      <c r="L12" s="86"/>
      <c r="M12" s="86"/>
      <c r="N12" s="86"/>
      <c r="O12" s="86"/>
      <c r="P12" s="86"/>
      <c r="Q12" s="86"/>
      <c r="R12" s="86"/>
      <c r="S12" s="86"/>
      <c r="T12" s="86"/>
      <c r="U12" s="86"/>
      <c r="V12" s="86"/>
      <c r="W12" s="86"/>
      <c r="X12" s="86"/>
      <c r="Y12" s="86"/>
      <c r="Z12" s="86"/>
    </row>
    <row r="13">
      <c r="A13" s="87"/>
      <c r="B13" s="87"/>
      <c r="C13" s="106" t="s">
        <v>39</v>
      </c>
      <c r="D13" s="36"/>
      <c r="E13" s="37"/>
      <c r="F13" s="105">
        <f>Hoja4!J25</f>
        <v>60.58479532</v>
      </c>
      <c r="G13" s="86"/>
      <c r="H13" s="86"/>
      <c r="I13" s="86"/>
      <c r="J13" s="86"/>
      <c r="K13" s="86"/>
      <c r="L13" s="86"/>
      <c r="M13" s="86"/>
      <c r="N13" s="86"/>
      <c r="O13" s="86"/>
      <c r="P13" s="86"/>
      <c r="Q13" s="86"/>
      <c r="R13" s="86"/>
      <c r="S13" s="86"/>
      <c r="T13" s="86"/>
      <c r="U13" s="86"/>
      <c r="V13" s="86"/>
      <c r="W13" s="86"/>
      <c r="X13" s="86"/>
      <c r="Y13" s="86"/>
      <c r="Z13" s="86"/>
    </row>
    <row r="14">
      <c r="A14" s="87"/>
      <c r="B14" s="87"/>
      <c r="C14" s="107" t="s">
        <v>89</v>
      </c>
      <c r="D14" s="36"/>
      <c r="E14" s="37"/>
      <c r="F14" s="105">
        <f>Hoja4!J24</f>
        <v>51.08695652</v>
      </c>
      <c r="G14" s="86"/>
      <c r="H14" s="86"/>
      <c r="I14" s="86"/>
      <c r="J14" s="86"/>
      <c r="K14" s="86"/>
      <c r="L14" s="86"/>
      <c r="M14" s="86"/>
      <c r="N14" s="86"/>
      <c r="O14" s="86"/>
      <c r="P14" s="86"/>
      <c r="Q14" s="86"/>
      <c r="R14" s="86"/>
      <c r="S14" s="86"/>
      <c r="T14" s="86"/>
      <c r="U14" s="86"/>
      <c r="V14" s="86"/>
      <c r="W14" s="86"/>
      <c r="X14" s="86"/>
      <c r="Y14" s="86"/>
      <c r="Z14" s="86"/>
    </row>
    <row r="15">
      <c r="A15" s="87"/>
      <c r="B15" s="87"/>
      <c r="C15" s="106" t="s">
        <v>38</v>
      </c>
      <c r="D15" s="36"/>
      <c r="E15" s="37"/>
      <c r="F15" s="105">
        <f>Hoja4!J23</f>
        <v>42.47779751</v>
      </c>
      <c r="G15" s="86"/>
      <c r="H15" s="86"/>
      <c r="I15" s="86"/>
      <c r="J15" s="86"/>
      <c r="K15" s="86"/>
      <c r="L15" s="86"/>
      <c r="M15" s="86"/>
      <c r="N15" s="86"/>
      <c r="O15" s="86"/>
      <c r="P15" s="86"/>
      <c r="Q15" s="86"/>
      <c r="R15" s="86"/>
      <c r="S15" s="86"/>
      <c r="T15" s="86"/>
      <c r="U15" s="86"/>
      <c r="V15" s="86"/>
      <c r="W15" s="86"/>
      <c r="X15" s="86"/>
      <c r="Y15" s="86"/>
      <c r="Z15" s="86"/>
    </row>
    <row r="16">
      <c r="A16" s="87"/>
      <c r="B16" s="87"/>
      <c r="C16" s="106" t="s">
        <v>118</v>
      </c>
      <c r="D16" s="36"/>
      <c r="E16" s="37"/>
      <c r="F16" s="105">
        <f>Hoja4!J22</f>
        <v>53.03191489</v>
      </c>
      <c r="G16" s="86"/>
      <c r="H16" s="86"/>
      <c r="I16" s="86"/>
      <c r="J16" s="86"/>
      <c r="K16" s="86"/>
      <c r="L16" s="86"/>
      <c r="M16" s="86"/>
      <c r="N16" s="86"/>
      <c r="O16" s="86"/>
      <c r="P16" s="86"/>
      <c r="Q16" s="86"/>
      <c r="R16" s="86"/>
      <c r="S16" s="86"/>
      <c r="T16" s="86"/>
      <c r="U16" s="86"/>
      <c r="V16" s="86"/>
      <c r="W16" s="86"/>
      <c r="X16" s="86"/>
      <c r="Y16" s="86"/>
      <c r="Z16" s="86"/>
    </row>
    <row r="17">
      <c r="A17" s="87"/>
      <c r="B17" s="87"/>
      <c r="C17" s="108" t="s">
        <v>90</v>
      </c>
      <c r="D17" s="36"/>
      <c r="E17" s="37"/>
      <c r="F17" s="105">
        <f>Hoja4!J21</f>
        <v>39.02173913</v>
      </c>
      <c r="G17" s="86"/>
      <c r="H17" s="86"/>
      <c r="I17" s="86"/>
      <c r="J17" s="86"/>
      <c r="K17" s="86"/>
      <c r="L17" s="86"/>
      <c r="M17" s="86"/>
      <c r="N17" s="86"/>
      <c r="O17" s="86"/>
      <c r="P17" s="86"/>
      <c r="Q17" s="86"/>
      <c r="R17" s="86"/>
      <c r="S17" s="86"/>
      <c r="T17" s="86"/>
      <c r="U17" s="86"/>
      <c r="V17" s="86"/>
      <c r="W17" s="86"/>
      <c r="X17" s="86"/>
      <c r="Y17" s="86"/>
      <c r="Z17" s="86"/>
    </row>
    <row r="18">
      <c r="A18" s="87"/>
      <c r="B18" s="87"/>
      <c r="C18" s="106" t="s">
        <v>35</v>
      </c>
      <c r="D18" s="36"/>
      <c r="E18" s="37"/>
      <c r="F18" s="105">
        <f>Hoja4!J20</f>
        <v>60.0617284</v>
      </c>
      <c r="G18" s="86"/>
      <c r="H18" s="86"/>
      <c r="I18" s="86"/>
      <c r="J18" s="86"/>
      <c r="K18" s="86"/>
      <c r="L18" s="86"/>
      <c r="M18" s="86"/>
      <c r="N18" s="86"/>
      <c r="O18" s="86"/>
      <c r="P18" s="86"/>
      <c r="Q18" s="86"/>
      <c r="R18" s="86"/>
      <c r="S18" s="86"/>
      <c r="T18" s="86"/>
      <c r="U18" s="86"/>
      <c r="V18" s="86"/>
      <c r="W18" s="86"/>
      <c r="X18" s="86"/>
      <c r="Y18" s="86"/>
      <c r="Z18" s="86"/>
    </row>
    <row r="19">
      <c r="A19" s="87"/>
      <c r="B19" s="87"/>
      <c r="C19" s="106" t="s">
        <v>34</v>
      </c>
      <c r="D19" s="36"/>
      <c r="E19" s="37"/>
      <c r="F19" s="105">
        <f>Hoja4!J19</f>
        <v>63.62903226</v>
      </c>
      <c r="G19" s="86"/>
      <c r="H19" s="86"/>
      <c r="I19" s="86"/>
      <c r="J19" s="86"/>
      <c r="K19" s="86"/>
      <c r="L19" s="86"/>
      <c r="M19" s="86"/>
      <c r="N19" s="86"/>
      <c r="O19" s="86"/>
      <c r="P19" s="86"/>
      <c r="Q19" s="86"/>
      <c r="R19" s="86"/>
      <c r="S19" s="86"/>
      <c r="T19" s="86"/>
      <c r="U19" s="86"/>
      <c r="V19" s="86"/>
      <c r="W19" s="86"/>
      <c r="X19" s="86"/>
      <c r="Y19" s="86"/>
      <c r="Z19" s="86"/>
    </row>
    <row r="20">
      <c r="A20" s="87"/>
      <c r="B20" s="87"/>
      <c r="C20" s="106" t="s">
        <v>33</v>
      </c>
      <c r="D20" s="36"/>
      <c r="E20" s="37"/>
      <c r="F20" s="105">
        <f>Hoja4!J18</f>
        <v>48.51086957</v>
      </c>
      <c r="G20" s="86"/>
      <c r="H20" s="86"/>
      <c r="I20" s="86"/>
      <c r="J20" s="86"/>
      <c r="K20" s="86"/>
      <c r="L20" s="86"/>
      <c r="M20" s="86"/>
      <c r="N20" s="86"/>
      <c r="O20" s="86"/>
      <c r="P20" s="86"/>
      <c r="Q20" s="86"/>
      <c r="R20" s="86"/>
      <c r="S20" s="86"/>
      <c r="T20" s="86"/>
      <c r="U20" s="86"/>
      <c r="V20" s="86"/>
      <c r="W20" s="86"/>
      <c r="X20" s="86"/>
      <c r="Y20" s="86"/>
      <c r="Z20" s="86"/>
    </row>
    <row r="21" ht="15.75" customHeight="1">
      <c r="A21" s="87"/>
      <c r="B21" s="87"/>
      <c r="C21" s="108" t="s">
        <v>10</v>
      </c>
      <c r="D21" s="36"/>
      <c r="E21" s="37"/>
      <c r="F21" s="105">
        <f>Hoja4!J17</f>
        <v>49.0529695</v>
      </c>
      <c r="G21" s="86"/>
      <c r="H21" s="86"/>
      <c r="I21" s="86"/>
      <c r="J21" s="86"/>
      <c r="K21" s="86"/>
      <c r="L21" s="86"/>
      <c r="M21" s="86"/>
      <c r="N21" s="86"/>
      <c r="O21" s="86"/>
      <c r="P21" s="86"/>
      <c r="Q21" s="86"/>
      <c r="R21" s="86"/>
      <c r="S21" s="86"/>
      <c r="T21" s="86"/>
      <c r="U21" s="86"/>
      <c r="V21" s="86"/>
      <c r="W21" s="86"/>
      <c r="X21" s="86"/>
      <c r="Y21" s="86"/>
      <c r="Z21" s="86"/>
    </row>
    <row r="22" ht="15.75" customHeight="1">
      <c r="A22" s="87"/>
      <c r="B22" s="87"/>
      <c r="C22" s="106" t="s">
        <v>32</v>
      </c>
      <c r="D22" s="36"/>
      <c r="E22" s="37"/>
      <c r="F22" s="105">
        <f>Hoja4!J16</f>
        <v>35.28397566</v>
      </c>
      <c r="G22" s="86"/>
      <c r="H22" s="86"/>
      <c r="I22" s="86"/>
      <c r="J22" s="86"/>
      <c r="K22" s="86"/>
      <c r="L22" s="86"/>
      <c r="M22" s="86"/>
      <c r="N22" s="86"/>
      <c r="O22" s="86"/>
      <c r="P22" s="86"/>
      <c r="Q22" s="86"/>
      <c r="R22" s="86"/>
      <c r="S22" s="86"/>
      <c r="T22" s="86"/>
      <c r="U22" s="86"/>
      <c r="V22" s="86"/>
      <c r="W22" s="86"/>
      <c r="X22" s="86"/>
      <c r="Y22" s="86"/>
      <c r="Z22" s="86"/>
    </row>
    <row r="23" ht="15.75" customHeight="1">
      <c r="A23" s="87"/>
      <c r="B23" s="87"/>
      <c r="C23" s="106" t="s">
        <v>31</v>
      </c>
      <c r="D23" s="36"/>
      <c r="E23" s="37"/>
      <c r="F23" s="105">
        <f>Hoja4!J15</f>
        <v>77.00166113</v>
      </c>
      <c r="G23" s="86"/>
      <c r="H23" s="86"/>
      <c r="I23" s="86"/>
      <c r="J23" s="86"/>
      <c r="K23" s="86"/>
      <c r="L23" s="86"/>
      <c r="M23" s="86"/>
      <c r="N23" s="86"/>
      <c r="O23" s="86"/>
      <c r="P23" s="86"/>
      <c r="Q23" s="86"/>
      <c r="R23" s="86"/>
      <c r="S23" s="86"/>
      <c r="T23" s="86"/>
      <c r="U23" s="86"/>
      <c r="V23" s="86"/>
      <c r="W23" s="86"/>
      <c r="X23" s="86"/>
      <c r="Y23" s="86"/>
      <c r="Z23" s="86"/>
    </row>
    <row r="24" ht="15.75" customHeight="1">
      <c r="A24" s="87"/>
      <c r="B24" s="87"/>
      <c r="C24" s="106" t="s">
        <v>30</v>
      </c>
      <c r="D24" s="36"/>
      <c r="E24" s="37"/>
      <c r="F24" s="105">
        <f>Hoja4!J14</f>
        <v>40.89498807</v>
      </c>
      <c r="G24" s="86"/>
      <c r="H24" s="86"/>
      <c r="I24" s="86"/>
      <c r="J24" s="86"/>
      <c r="K24" s="86"/>
      <c r="L24" s="86"/>
      <c r="M24" s="86"/>
      <c r="N24" s="86"/>
      <c r="O24" s="86"/>
      <c r="P24" s="86"/>
      <c r="Q24" s="86"/>
      <c r="R24" s="86"/>
      <c r="S24" s="86"/>
      <c r="T24" s="86"/>
      <c r="U24" s="86"/>
      <c r="V24" s="86"/>
      <c r="W24" s="86"/>
      <c r="X24" s="86"/>
      <c r="Y24" s="86"/>
      <c r="Z24" s="86"/>
    </row>
    <row r="25" ht="15.75" customHeight="1">
      <c r="A25" s="87"/>
      <c r="B25" s="87"/>
      <c r="C25" s="108" t="s">
        <v>91</v>
      </c>
      <c r="D25" s="36"/>
      <c r="E25" s="37"/>
      <c r="F25" s="105">
        <f>Hoja4!J13</f>
        <v>49.51152074</v>
      </c>
      <c r="G25" s="86"/>
      <c r="H25" s="86"/>
      <c r="I25" s="86"/>
      <c r="J25" s="86"/>
      <c r="K25" s="86"/>
      <c r="L25" s="86"/>
      <c r="M25" s="86"/>
      <c r="N25" s="86"/>
      <c r="O25" s="86"/>
      <c r="P25" s="86"/>
      <c r="Q25" s="86"/>
      <c r="R25" s="86"/>
      <c r="S25" s="86"/>
      <c r="T25" s="86"/>
      <c r="U25" s="86"/>
      <c r="V25" s="86"/>
      <c r="W25" s="86"/>
      <c r="X25" s="86"/>
      <c r="Y25" s="86"/>
      <c r="Z25" s="86"/>
    </row>
    <row r="26" ht="15.75" customHeight="1">
      <c r="A26" s="87"/>
      <c r="B26" s="87"/>
      <c r="C26" s="106" t="s">
        <v>29</v>
      </c>
      <c r="D26" s="36"/>
      <c r="E26" s="37"/>
      <c r="F26" s="105">
        <f>Hoja4!J12</f>
        <v>55.234375</v>
      </c>
      <c r="G26" s="86"/>
      <c r="H26" s="86"/>
      <c r="I26" s="86"/>
      <c r="J26" s="86"/>
      <c r="K26" s="86"/>
      <c r="L26" s="86"/>
      <c r="M26" s="86"/>
      <c r="N26" s="86"/>
      <c r="O26" s="86"/>
      <c r="P26" s="86"/>
      <c r="Q26" s="86"/>
      <c r="R26" s="86"/>
      <c r="S26" s="86"/>
      <c r="T26" s="86"/>
      <c r="U26" s="86"/>
      <c r="V26" s="86"/>
      <c r="W26" s="86"/>
      <c r="X26" s="86"/>
      <c r="Y26" s="86"/>
      <c r="Z26" s="86"/>
    </row>
    <row r="27" ht="15.75" customHeight="1">
      <c r="A27" s="87"/>
      <c r="B27" s="87"/>
      <c r="C27" s="106" t="s">
        <v>28</v>
      </c>
      <c r="D27" s="36"/>
      <c r="E27" s="37"/>
      <c r="F27" s="105">
        <f>Hoja4!J11</f>
        <v>65.32544379</v>
      </c>
      <c r="G27" s="86"/>
      <c r="H27" s="86"/>
      <c r="I27" s="86"/>
      <c r="J27" s="86"/>
      <c r="K27" s="86"/>
      <c r="L27" s="86"/>
      <c r="M27" s="86"/>
      <c r="N27" s="86"/>
      <c r="O27" s="86"/>
      <c r="P27" s="86"/>
      <c r="Q27" s="86"/>
      <c r="R27" s="86"/>
      <c r="S27" s="86"/>
      <c r="T27" s="86"/>
      <c r="U27" s="86"/>
      <c r="V27" s="86"/>
      <c r="W27" s="86"/>
      <c r="X27" s="86"/>
      <c r="Y27" s="86"/>
      <c r="Z27" s="86"/>
    </row>
    <row r="28" ht="15.75" customHeight="1">
      <c r="A28" s="87"/>
      <c r="B28" s="87"/>
      <c r="C28" s="109" t="s">
        <v>27</v>
      </c>
      <c r="D28" s="36"/>
      <c r="E28" s="37"/>
      <c r="F28" s="105">
        <f>Hoja4!J10</f>
        <v>36.23809524</v>
      </c>
      <c r="G28" s="86"/>
      <c r="H28" s="86"/>
      <c r="I28" s="86"/>
      <c r="J28" s="86"/>
      <c r="K28" s="86"/>
      <c r="L28" s="86"/>
      <c r="M28" s="86"/>
      <c r="N28" s="86"/>
      <c r="O28" s="86"/>
      <c r="P28" s="86"/>
      <c r="Q28" s="86"/>
      <c r="R28" s="86"/>
      <c r="S28" s="86"/>
      <c r="T28" s="86"/>
      <c r="U28" s="86"/>
      <c r="V28" s="86"/>
      <c r="W28" s="86"/>
      <c r="X28" s="86"/>
      <c r="Y28" s="86"/>
      <c r="Z28" s="86"/>
    </row>
    <row r="29" ht="15.75" customHeight="1">
      <c r="A29" s="87"/>
      <c r="B29" s="87"/>
      <c r="C29" s="106" t="s">
        <v>26</v>
      </c>
      <c r="D29" s="36"/>
      <c r="E29" s="37"/>
      <c r="F29" s="105">
        <f>Hoja4!J9</f>
        <v>94.1416309</v>
      </c>
      <c r="G29" s="86"/>
      <c r="H29" s="86"/>
      <c r="I29" s="86"/>
      <c r="J29" s="86"/>
      <c r="K29" s="86"/>
      <c r="L29" s="86"/>
      <c r="M29" s="86"/>
      <c r="N29" s="86"/>
      <c r="O29" s="86"/>
      <c r="P29" s="86"/>
      <c r="Q29" s="86"/>
      <c r="R29" s="86"/>
      <c r="S29" s="86"/>
      <c r="T29" s="86"/>
      <c r="U29" s="86"/>
      <c r="V29" s="86"/>
      <c r="W29" s="86"/>
      <c r="X29" s="86"/>
      <c r="Y29" s="86"/>
      <c r="Z29" s="86"/>
    </row>
    <row r="30" ht="15.75" customHeight="1">
      <c r="A30" s="87"/>
      <c r="B30" s="87"/>
      <c r="C30" s="106" t="s">
        <v>25</v>
      </c>
      <c r="D30" s="36"/>
      <c r="E30" s="37"/>
      <c r="F30" s="105">
        <f>Hoja4!J8</f>
        <v>103.4375</v>
      </c>
      <c r="G30" s="86"/>
      <c r="H30" s="86"/>
      <c r="I30" s="86"/>
      <c r="J30" s="86"/>
      <c r="K30" s="86"/>
      <c r="L30" s="86"/>
      <c r="M30" s="86"/>
      <c r="N30" s="86"/>
      <c r="O30" s="86"/>
      <c r="P30" s="86"/>
      <c r="Q30" s="86"/>
      <c r="R30" s="86"/>
      <c r="S30" s="86"/>
      <c r="T30" s="86"/>
      <c r="U30" s="86"/>
      <c r="V30" s="86"/>
      <c r="W30" s="86"/>
      <c r="X30" s="86"/>
      <c r="Y30" s="86"/>
      <c r="Z30" s="86"/>
    </row>
    <row r="31" ht="15.75" customHeight="1">
      <c r="A31" s="87"/>
      <c r="B31" s="87"/>
      <c r="C31" s="108" t="s">
        <v>24</v>
      </c>
      <c r="D31" s="36"/>
      <c r="E31" s="37"/>
      <c r="F31" s="105">
        <f>Hoja4!J7</f>
        <v>61.38251099</v>
      </c>
      <c r="G31" s="86"/>
      <c r="H31" s="86"/>
      <c r="I31" s="86"/>
      <c r="J31" s="86"/>
      <c r="K31" s="86"/>
      <c r="L31" s="86"/>
      <c r="M31" s="86"/>
      <c r="N31" s="86"/>
      <c r="O31" s="86"/>
      <c r="P31" s="86"/>
      <c r="Q31" s="86"/>
      <c r="R31" s="86"/>
      <c r="S31" s="86"/>
      <c r="T31" s="86"/>
      <c r="U31" s="86"/>
      <c r="V31" s="86"/>
      <c r="W31" s="86"/>
      <c r="X31" s="86"/>
      <c r="Y31" s="86"/>
      <c r="Z31" s="86"/>
    </row>
    <row r="32" ht="15.75" customHeight="1">
      <c r="A32" s="87"/>
      <c r="B32" s="87"/>
      <c r="C32" s="88"/>
      <c r="D32" s="86"/>
      <c r="E32" s="86"/>
      <c r="F32" s="86"/>
      <c r="G32" s="86"/>
      <c r="H32" s="86"/>
      <c r="I32" s="86"/>
      <c r="J32" s="86"/>
      <c r="K32" s="86"/>
      <c r="L32" s="86"/>
      <c r="M32" s="86"/>
      <c r="N32" s="86"/>
      <c r="O32" s="86"/>
      <c r="P32" s="86"/>
      <c r="Q32" s="86"/>
      <c r="R32" s="86"/>
      <c r="S32" s="86"/>
      <c r="T32" s="86"/>
      <c r="U32" s="86"/>
      <c r="V32" s="86"/>
      <c r="W32" s="86"/>
      <c r="X32" s="86"/>
      <c r="Y32" s="86"/>
      <c r="Z32" s="86"/>
    </row>
    <row r="33" ht="15.75" customHeight="1">
      <c r="A33" s="87"/>
      <c r="B33" s="87"/>
      <c r="C33" s="88"/>
      <c r="D33" s="86"/>
      <c r="E33" s="86"/>
      <c r="F33" s="86"/>
      <c r="G33" s="86"/>
      <c r="H33" s="86"/>
      <c r="I33" s="86"/>
      <c r="J33" s="86"/>
      <c r="K33" s="86"/>
      <c r="L33" s="86"/>
      <c r="M33" s="86"/>
      <c r="N33" s="86"/>
      <c r="O33" s="86"/>
      <c r="P33" s="86"/>
      <c r="Q33" s="86"/>
      <c r="R33" s="86"/>
      <c r="S33" s="86"/>
      <c r="T33" s="86"/>
      <c r="U33" s="86"/>
      <c r="V33" s="86"/>
      <c r="W33" s="86"/>
      <c r="X33" s="86"/>
      <c r="Y33" s="86"/>
      <c r="Z33" s="86"/>
    </row>
    <row r="34" ht="15.75" customHeight="1">
      <c r="A34" s="87"/>
      <c r="B34" s="87"/>
      <c r="C34" s="88"/>
      <c r="D34" s="86"/>
      <c r="E34" s="86"/>
      <c r="F34" s="86"/>
      <c r="G34" s="86"/>
      <c r="H34" s="86"/>
      <c r="I34" s="86"/>
      <c r="J34" s="86"/>
      <c r="K34" s="86"/>
      <c r="L34" s="86"/>
      <c r="M34" s="86"/>
      <c r="N34" s="86"/>
      <c r="O34" s="86"/>
      <c r="P34" s="86"/>
      <c r="Q34" s="86"/>
      <c r="R34" s="86"/>
      <c r="S34" s="86"/>
      <c r="T34" s="86"/>
      <c r="U34" s="86"/>
      <c r="V34" s="86"/>
      <c r="W34" s="86"/>
      <c r="X34" s="86"/>
      <c r="Y34" s="86"/>
      <c r="Z34" s="86"/>
    </row>
    <row r="35" ht="15.75" customHeight="1">
      <c r="A35" s="87"/>
      <c r="B35" s="87"/>
      <c r="C35" s="88"/>
      <c r="D35" s="86"/>
      <c r="E35" s="86"/>
      <c r="F35" s="86"/>
      <c r="G35" s="86"/>
      <c r="H35" s="86"/>
      <c r="I35" s="86"/>
      <c r="J35" s="86"/>
      <c r="K35" s="86"/>
      <c r="L35" s="86"/>
      <c r="M35" s="86"/>
      <c r="N35" s="86"/>
      <c r="O35" s="86"/>
      <c r="P35" s="86"/>
      <c r="Q35" s="86"/>
      <c r="R35" s="86"/>
      <c r="S35" s="86"/>
      <c r="T35" s="86"/>
      <c r="U35" s="86"/>
      <c r="V35" s="86"/>
      <c r="W35" s="86"/>
      <c r="X35" s="86"/>
      <c r="Y35" s="86"/>
      <c r="Z35" s="86"/>
    </row>
    <row r="36" ht="15.75" customHeight="1">
      <c r="A36" s="87"/>
      <c r="B36" s="87"/>
      <c r="C36" s="88"/>
      <c r="D36" s="86"/>
      <c r="E36" s="86"/>
      <c r="F36" s="86"/>
      <c r="G36" s="86"/>
      <c r="H36" s="86"/>
      <c r="I36" s="86"/>
      <c r="J36" s="86"/>
      <c r="K36" s="86"/>
      <c r="L36" s="86"/>
      <c r="M36" s="86"/>
      <c r="N36" s="86"/>
      <c r="O36" s="86"/>
      <c r="P36" s="86"/>
      <c r="Q36" s="86"/>
      <c r="R36" s="86"/>
      <c r="S36" s="86"/>
      <c r="T36" s="86"/>
      <c r="U36" s="86"/>
      <c r="V36" s="86"/>
      <c r="W36" s="86"/>
      <c r="X36" s="86"/>
      <c r="Y36" s="86"/>
      <c r="Z36" s="86"/>
    </row>
    <row r="37" ht="15.75" customHeight="1">
      <c r="A37" s="87"/>
      <c r="B37" s="87"/>
      <c r="C37" s="88"/>
      <c r="D37" s="86"/>
      <c r="E37" s="86"/>
      <c r="F37" s="86"/>
      <c r="G37" s="86"/>
      <c r="H37" s="86"/>
      <c r="I37" s="86"/>
      <c r="J37" s="86"/>
      <c r="K37" s="86"/>
      <c r="L37" s="86"/>
      <c r="M37" s="86"/>
      <c r="N37" s="86"/>
      <c r="O37" s="86"/>
      <c r="P37" s="86"/>
      <c r="Q37" s="86"/>
      <c r="R37" s="86"/>
      <c r="S37" s="86"/>
      <c r="T37" s="86"/>
      <c r="U37" s="86"/>
      <c r="V37" s="86"/>
      <c r="W37" s="86"/>
      <c r="X37" s="86"/>
      <c r="Y37" s="86"/>
      <c r="Z37" s="86"/>
    </row>
    <row r="38" ht="15.75" customHeight="1">
      <c r="A38" s="87"/>
      <c r="B38" s="87"/>
      <c r="C38" s="88"/>
      <c r="D38" s="86"/>
      <c r="E38" s="86"/>
      <c r="F38" s="86"/>
      <c r="G38" s="86"/>
      <c r="H38" s="86"/>
      <c r="I38" s="86"/>
      <c r="J38" s="86"/>
      <c r="K38" s="86"/>
      <c r="L38" s="86"/>
      <c r="M38" s="86"/>
      <c r="N38" s="86"/>
      <c r="O38" s="86"/>
      <c r="P38" s="86"/>
      <c r="Q38" s="86"/>
      <c r="R38" s="86"/>
      <c r="S38" s="86"/>
      <c r="T38" s="86"/>
      <c r="U38" s="86"/>
      <c r="V38" s="86"/>
      <c r="W38" s="86"/>
      <c r="X38" s="86"/>
      <c r="Y38" s="86"/>
      <c r="Z38" s="86"/>
    </row>
    <row r="39" ht="15.75" customHeight="1">
      <c r="A39" s="87"/>
      <c r="B39" s="87"/>
      <c r="C39" s="88"/>
      <c r="D39" s="86"/>
      <c r="E39" s="86"/>
      <c r="F39" s="86"/>
      <c r="G39" s="86"/>
      <c r="H39" s="86"/>
      <c r="I39" s="86"/>
      <c r="J39" s="86"/>
      <c r="K39" s="86"/>
      <c r="L39" s="86"/>
      <c r="M39" s="86"/>
      <c r="N39" s="86"/>
      <c r="O39" s="86"/>
      <c r="P39" s="86"/>
      <c r="Q39" s="86"/>
      <c r="R39" s="86"/>
      <c r="S39" s="86"/>
      <c r="T39" s="86"/>
      <c r="U39" s="86"/>
      <c r="V39" s="86"/>
      <c r="W39" s="86"/>
      <c r="X39" s="86"/>
      <c r="Y39" s="86"/>
      <c r="Z39" s="86"/>
    </row>
    <row r="40" ht="15.75" customHeight="1">
      <c r="A40" s="87"/>
      <c r="B40" s="87"/>
      <c r="C40" s="88"/>
      <c r="D40" s="86"/>
      <c r="E40" s="86"/>
      <c r="F40" s="86"/>
      <c r="G40" s="86"/>
      <c r="H40" s="86"/>
      <c r="I40" s="86"/>
      <c r="J40" s="86"/>
      <c r="K40" s="86"/>
      <c r="L40" s="86"/>
      <c r="M40" s="86"/>
      <c r="N40" s="86"/>
      <c r="O40" s="86"/>
      <c r="P40" s="86"/>
      <c r="Q40" s="86"/>
      <c r="R40" s="86"/>
      <c r="S40" s="86"/>
      <c r="T40" s="86"/>
      <c r="U40" s="86"/>
      <c r="V40" s="86"/>
      <c r="W40" s="86"/>
      <c r="X40" s="86"/>
      <c r="Y40" s="86"/>
      <c r="Z40" s="86"/>
    </row>
    <row r="41" ht="15.75" customHeight="1">
      <c r="A41" s="87"/>
      <c r="B41" s="87"/>
      <c r="C41" s="88"/>
      <c r="D41" s="86"/>
      <c r="E41" s="86"/>
      <c r="F41" s="86"/>
      <c r="G41" s="86"/>
      <c r="H41" s="86"/>
      <c r="I41" s="86"/>
      <c r="J41" s="86"/>
      <c r="K41" s="86"/>
      <c r="L41" s="86"/>
      <c r="M41" s="86"/>
      <c r="N41" s="86"/>
      <c r="O41" s="86"/>
      <c r="P41" s="86"/>
      <c r="Q41" s="86"/>
      <c r="R41" s="86"/>
      <c r="S41" s="86"/>
      <c r="T41" s="86"/>
      <c r="U41" s="86"/>
      <c r="V41" s="86"/>
      <c r="W41" s="86"/>
      <c r="X41" s="86"/>
      <c r="Y41" s="86"/>
      <c r="Z41" s="86"/>
    </row>
    <row r="42" ht="15.75" customHeight="1">
      <c r="A42" s="87"/>
      <c r="B42" s="87"/>
      <c r="C42" s="88"/>
      <c r="D42" s="86"/>
      <c r="E42" s="86"/>
      <c r="F42" s="86"/>
      <c r="G42" s="86"/>
      <c r="H42" s="86"/>
      <c r="I42" s="86"/>
      <c r="J42" s="86"/>
      <c r="K42" s="86"/>
      <c r="L42" s="86"/>
      <c r="M42" s="86"/>
      <c r="N42" s="86"/>
      <c r="O42" s="86"/>
      <c r="P42" s="86"/>
      <c r="Q42" s="86"/>
      <c r="R42" s="86"/>
      <c r="S42" s="86"/>
      <c r="T42" s="86"/>
      <c r="U42" s="86"/>
      <c r="V42" s="86"/>
      <c r="W42" s="86"/>
      <c r="X42" s="86"/>
      <c r="Y42" s="86"/>
      <c r="Z42" s="86"/>
    </row>
    <row r="43" ht="15.75" customHeight="1">
      <c r="A43" s="87"/>
      <c r="B43" s="87"/>
      <c r="C43" s="88"/>
      <c r="D43" s="86"/>
      <c r="E43" s="86"/>
      <c r="F43" s="86"/>
      <c r="G43" s="86"/>
      <c r="H43" s="86"/>
      <c r="I43" s="86"/>
      <c r="J43" s="86"/>
      <c r="K43" s="86"/>
      <c r="L43" s="86"/>
      <c r="M43" s="86"/>
      <c r="N43" s="86"/>
      <c r="O43" s="86"/>
      <c r="P43" s="86"/>
      <c r="Q43" s="86"/>
      <c r="R43" s="86"/>
      <c r="S43" s="86"/>
      <c r="T43" s="86"/>
      <c r="U43" s="86"/>
      <c r="V43" s="86"/>
      <c r="W43" s="86"/>
      <c r="X43" s="86"/>
      <c r="Y43" s="86"/>
      <c r="Z43" s="86"/>
    </row>
    <row r="44" ht="15.75" customHeight="1">
      <c r="A44" s="87"/>
      <c r="B44" s="87"/>
      <c r="C44" s="88"/>
      <c r="D44" s="86"/>
      <c r="E44" s="86"/>
      <c r="F44" s="86"/>
      <c r="G44" s="86"/>
      <c r="H44" s="86"/>
      <c r="I44" s="86"/>
      <c r="J44" s="86"/>
      <c r="K44" s="86"/>
      <c r="L44" s="86"/>
      <c r="M44" s="86"/>
      <c r="N44" s="86"/>
      <c r="O44" s="86"/>
      <c r="P44" s="86"/>
      <c r="Q44" s="86"/>
      <c r="R44" s="86"/>
      <c r="S44" s="86"/>
      <c r="T44" s="86"/>
      <c r="U44" s="86"/>
      <c r="V44" s="86"/>
      <c r="W44" s="86"/>
      <c r="X44" s="86"/>
      <c r="Y44" s="86"/>
      <c r="Z44" s="86"/>
    </row>
    <row r="45" ht="15.75" customHeight="1">
      <c r="A45" s="87"/>
      <c r="B45" s="87"/>
      <c r="C45" s="88"/>
      <c r="D45" s="86"/>
      <c r="E45" s="86"/>
      <c r="F45" s="86"/>
      <c r="G45" s="86"/>
      <c r="H45" s="86"/>
      <c r="I45" s="86"/>
      <c r="J45" s="86"/>
      <c r="K45" s="86"/>
      <c r="L45" s="86"/>
      <c r="M45" s="86"/>
      <c r="N45" s="86"/>
      <c r="O45" s="86"/>
      <c r="P45" s="86"/>
      <c r="Q45" s="86"/>
      <c r="R45" s="86"/>
      <c r="S45" s="86"/>
      <c r="T45" s="86"/>
      <c r="U45" s="86"/>
      <c r="V45" s="86"/>
      <c r="W45" s="86"/>
      <c r="X45" s="86"/>
      <c r="Y45" s="86"/>
      <c r="Z45" s="86"/>
    </row>
    <row r="46" ht="15.75" customHeight="1">
      <c r="A46" s="87"/>
      <c r="B46" s="87"/>
      <c r="C46" s="88"/>
      <c r="D46" s="86"/>
      <c r="E46" s="86"/>
      <c r="F46" s="86"/>
      <c r="G46" s="86"/>
      <c r="H46" s="86"/>
      <c r="I46" s="86"/>
      <c r="J46" s="86"/>
      <c r="K46" s="86"/>
      <c r="L46" s="86"/>
      <c r="M46" s="86"/>
      <c r="N46" s="86"/>
      <c r="O46" s="86"/>
      <c r="P46" s="86"/>
      <c r="Q46" s="86"/>
      <c r="R46" s="86"/>
      <c r="S46" s="86"/>
      <c r="T46" s="86"/>
      <c r="U46" s="86"/>
      <c r="V46" s="86"/>
      <c r="W46" s="86"/>
      <c r="X46" s="86"/>
      <c r="Y46" s="86"/>
      <c r="Z46" s="86"/>
    </row>
    <row r="47" ht="15.75" customHeight="1">
      <c r="A47" s="87"/>
      <c r="B47" s="87"/>
      <c r="C47" s="88"/>
      <c r="D47" s="86"/>
      <c r="E47" s="86"/>
      <c r="F47" s="86"/>
      <c r="G47" s="86"/>
      <c r="H47" s="86"/>
      <c r="I47" s="86"/>
      <c r="J47" s="86"/>
      <c r="K47" s="86"/>
      <c r="L47" s="86"/>
      <c r="M47" s="86"/>
      <c r="N47" s="86"/>
      <c r="O47" s="86"/>
      <c r="P47" s="86"/>
      <c r="Q47" s="86"/>
      <c r="R47" s="86"/>
      <c r="S47" s="86"/>
      <c r="T47" s="86"/>
      <c r="U47" s="86"/>
      <c r="V47" s="86"/>
      <c r="W47" s="86"/>
      <c r="X47" s="86"/>
      <c r="Y47" s="86"/>
      <c r="Z47" s="86"/>
    </row>
    <row r="48" ht="15.75" customHeight="1">
      <c r="A48" s="87"/>
      <c r="B48" s="87"/>
      <c r="C48" s="88"/>
      <c r="D48" s="86"/>
      <c r="E48" s="86"/>
      <c r="F48" s="86"/>
      <c r="G48" s="86"/>
      <c r="H48" s="86"/>
      <c r="I48" s="86"/>
      <c r="J48" s="86"/>
      <c r="K48" s="86"/>
      <c r="L48" s="86"/>
      <c r="M48" s="86"/>
      <c r="N48" s="86"/>
      <c r="O48" s="86"/>
      <c r="P48" s="86"/>
      <c r="Q48" s="86"/>
      <c r="R48" s="86"/>
      <c r="S48" s="86"/>
      <c r="T48" s="86"/>
      <c r="U48" s="86"/>
      <c r="V48" s="86"/>
      <c r="W48" s="86"/>
      <c r="X48" s="86"/>
      <c r="Y48" s="86"/>
      <c r="Z48" s="86"/>
    </row>
    <row r="49" ht="15.75" customHeight="1">
      <c r="A49" s="87"/>
      <c r="B49" s="87"/>
      <c r="C49" s="88"/>
      <c r="D49" s="86"/>
      <c r="E49" s="86"/>
      <c r="F49" s="86"/>
      <c r="G49" s="86"/>
      <c r="H49" s="86"/>
      <c r="I49" s="86"/>
      <c r="J49" s="86"/>
      <c r="K49" s="86"/>
      <c r="L49" s="86"/>
      <c r="M49" s="86"/>
      <c r="N49" s="86"/>
      <c r="O49" s="86"/>
      <c r="P49" s="86"/>
      <c r="Q49" s="86"/>
      <c r="R49" s="86"/>
      <c r="S49" s="86"/>
      <c r="T49" s="86"/>
      <c r="U49" s="86"/>
      <c r="V49" s="86"/>
      <c r="W49" s="86"/>
      <c r="X49" s="86"/>
      <c r="Y49" s="86"/>
      <c r="Z49" s="86"/>
    </row>
    <row r="50" ht="15.75" customHeight="1">
      <c r="A50" s="87"/>
      <c r="B50" s="87"/>
      <c r="C50" s="88"/>
      <c r="D50" s="86"/>
      <c r="E50" s="86"/>
      <c r="F50" s="86"/>
      <c r="G50" s="86"/>
      <c r="H50" s="86"/>
      <c r="I50" s="86"/>
      <c r="J50" s="86"/>
      <c r="K50" s="86"/>
      <c r="L50" s="86"/>
      <c r="M50" s="86"/>
      <c r="N50" s="86"/>
      <c r="O50" s="86"/>
      <c r="P50" s="86"/>
      <c r="Q50" s="86"/>
      <c r="R50" s="86"/>
      <c r="S50" s="86"/>
      <c r="T50" s="86"/>
      <c r="U50" s="86"/>
      <c r="V50" s="86"/>
      <c r="W50" s="86"/>
      <c r="X50" s="86"/>
      <c r="Y50" s="86"/>
      <c r="Z50" s="86"/>
    </row>
    <row r="51" ht="15.75" customHeight="1">
      <c r="A51" s="87"/>
      <c r="B51" s="87"/>
      <c r="C51" s="88"/>
      <c r="D51" s="86"/>
      <c r="E51" s="86"/>
      <c r="F51" s="86"/>
      <c r="G51" s="86"/>
      <c r="H51" s="86"/>
      <c r="I51" s="86"/>
      <c r="J51" s="86"/>
      <c r="K51" s="86"/>
      <c r="L51" s="86"/>
      <c r="M51" s="86"/>
      <c r="N51" s="86"/>
      <c r="O51" s="86"/>
      <c r="P51" s="86"/>
      <c r="Q51" s="86"/>
      <c r="R51" s="86"/>
      <c r="S51" s="86"/>
      <c r="T51" s="86"/>
      <c r="U51" s="86"/>
      <c r="V51" s="86"/>
      <c r="W51" s="86"/>
      <c r="X51" s="86"/>
      <c r="Y51" s="86"/>
      <c r="Z51" s="86"/>
    </row>
    <row r="52" ht="15.75" customHeight="1">
      <c r="A52" s="87"/>
      <c r="B52" s="87"/>
      <c r="C52" s="88"/>
      <c r="D52" s="86"/>
      <c r="E52" s="86"/>
      <c r="F52" s="86"/>
      <c r="G52" s="86"/>
      <c r="H52" s="86"/>
      <c r="I52" s="86"/>
      <c r="J52" s="86"/>
      <c r="K52" s="86"/>
      <c r="L52" s="86"/>
      <c r="M52" s="86"/>
      <c r="N52" s="86"/>
      <c r="O52" s="86"/>
      <c r="P52" s="86"/>
      <c r="Q52" s="86"/>
      <c r="R52" s="86"/>
      <c r="S52" s="86"/>
      <c r="T52" s="86"/>
      <c r="U52" s="86"/>
      <c r="V52" s="86"/>
      <c r="W52" s="86"/>
      <c r="X52" s="86"/>
      <c r="Y52" s="86"/>
      <c r="Z52" s="86"/>
    </row>
    <row r="53" ht="15.75" customHeight="1">
      <c r="A53" s="87"/>
      <c r="B53" s="87"/>
      <c r="C53" s="88"/>
      <c r="D53" s="86"/>
      <c r="E53" s="86"/>
      <c r="F53" s="86"/>
      <c r="G53" s="86"/>
      <c r="H53" s="86"/>
      <c r="I53" s="86"/>
      <c r="J53" s="86"/>
      <c r="K53" s="86"/>
      <c r="L53" s="86"/>
      <c r="M53" s="86"/>
      <c r="N53" s="86"/>
      <c r="O53" s="86"/>
      <c r="P53" s="86"/>
      <c r="Q53" s="86"/>
      <c r="R53" s="86"/>
      <c r="S53" s="86"/>
      <c r="T53" s="86"/>
      <c r="U53" s="86"/>
      <c r="V53" s="86"/>
      <c r="W53" s="86"/>
      <c r="X53" s="86"/>
      <c r="Y53" s="86"/>
      <c r="Z53" s="86"/>
    </row>
    <row r="54" ht="15.75" customHeight="1">
      <c r="A54" s="87"/>
      <c r="B54" s="87"/>
      <c r="C54" s="88"/>
      <c r="D54" s="86"/>
      <c r="E54" s="86"/>
      <c r="F54" s="86"/>
      <c r="G54" s="86"/>
      <c r="H54" s="86"/>
      <c r="I54" s="86"/>
      <c r="J54" s="86"/>
      <c r="K54" s="86"/>
      <c r="L54" s="86"/>
      <c r="M54" s="86"/>
      <c r="N54" s="86"/>
      <c r="O54" s="86"/>
      <c r="P54" s="86"/>
      <c r="Q54" s="86"/>
      <c r="R54" s="86"/>
      <c r="S54" s="86"/>
      <c r="T54" s="86"/>
      <c r="U54" s="86"/>
      <c r="V54" s="86"/>
      <c r="W54" s="86"/>
      <c r="X54" s="86"/>
      <c r="Y54" s="86"/>
      <c r="Z54" s="86"/>
    </row>
    <row r="55" ht="15.75" customHeight="1">
      <c r="A55" s="87"/>
      <c r="B55" s="87"/>
      <c r="C55" s="88"/>
      <c r="D55" s="86"/>
      <c r="E55" s="86"/>
      <c r="F55" s="86"/>
      <c r="G55" s="86"/>
      <c r="H55" s="86"/>
      <c r="I55" s="86"/>
      <c r="J55" s="86"/>
      <c r="K55" s="86"/>
      <c r="L55" s="86"/>
      <c r="M55" s="86"/>
      <c r="N55" s="86"/>
      <c r="O55" s="86"/>
      <c r="P55" s="86"/>
      <c r="Q55" s="86"/>
      <c r="R55" s="86"/>
      <c r="S55" s="86"/>
      <c r="T55" s="86"/>
      <c r="U55" s="86"/>
      <c r="V55" s="86"/>
      <c r="W55" s="86"/>
      <c r="X55" s="86"/>
      <c r="Y55" s="86"/>
      <c r="Z55" s="86"/>
    </row>
    <row r="56" ht="15.75" customHeight="1">
      <c r="A56" s="87"/>
      <c r="B56" s="87"/>
      <c r="C56" s="88"/>
      <c r="D56" s="86"/>
      <c r="E56" s="86"/>
      <c r="F56" s="86"/>
      <c r="G56" s="86"/>
      <c r="H56" s="86"/>
      <c r="I56" s="86"/>
      <c r="J56" s="86"/>
      <c r="K56" s="86"/>
      <c r="L56" s="86"/>
      <c r="M56" s="86"/>
      <c r="N56" s="86"/>
      <c r="O56" s="86"/>
      <c r="P56" s="86"/>
      <c r="Q56" s="86"/>
      <c r="R56" s="86"/>
      <c r="S56" s="86"/>
      <c r="T56" s="86"/>
      <c r="U56" s="86"/>
      <c r="V56" s="86"/>
      <c r="W56" s="86"/>
      <c r="X56" s="86"/>
      <c r="Y56" s="86"/>
      <c r="Z56" s="86"/>
    </row>
    <row r="57" ht="15.75" customHeight="1">
      <c r="A57" s="87"/>
      <c r="B57" s="87"/>
      <c r="C57" s="88"/>
      <c r="D57" s="86"/>
      <c r="E57" s="86"/>
      <c r="F57" s="86"/>
      <c r="G57" s="86"/>
      <c r="H57" s="86"/>
      <c r="I57" s="86"/>
      <c r="J57" s="86"/>
      <c r="K57" s="86"/>
      <c r="L57" s="86"/>
      <c r="M57" s="86"/>
      <c r="N57" s="86"/>
      <c r="O57" s="86"/>
      <c r="P57" s="86"/>
      <c r="Q57" s="86"/>
      <c r="R57" s="86"/>
      <c r="S57" s="86"/>
      <c r="T57" s="86"/>
      <c r="U57" s="86"/>
      <c r="V57" s="86"/>
      <c r="W57" s="86"/>
      <c r="X57" s="86"/>
      <c r="Y57" s="86"/>
      <c r="Z57" s="86"/>
    </row>
    <row r="58" ht="15.75" customHeight="1">
      <c r="A58" s="87"/>
      <c r="B58" s="87"/>
      <c r="C58" s="88"/>
      <c r="D58" s="86"/>
      <c r="E58" s="86"/>
      <c r="F58" s="86"/>
      <c r="G58" s="86"/>
      <c r="H58" s="86"/>
      <c r="I58" s="86"/>
      <c r="J58" s="86"/>
      <c r="K58" s="86"/>
      <c r="L58" s="86"/>
      <c r="M58" s="86"/>
      <c r="N58" s="86"/>
      <c r="O58" s="86"/>
      <c r="P58" s="86"/>
      <c r="Q58" s="86"/>
      <c r="R58" s="86"/>
      <c r="S58" s="86"/>
      <c r="T58" s="86"/>
      <c r="U58" s="86"/>
      <c r="V58" s="86"/>
      <c r="W58" s="86"/>
      <c r="X58" s="86"/>
      <c r="Y58" s="86"/>
      <c r="Z58" s="86"/>
    </row>
    <row r="59" ht="15.75" customHeight="1">
      <c r="A59" s="87"/>
      <c r="B59" s="87"/>
      <c r="C59" s="88"/>
      <c r="D59" s="86"/>
      <c r="E59" s="86"/>
      <c r="F59" s="86"/>
      <c r="G59" s="86"/>
      <c r="H59" s="86"/>
      <c r="I59" s="86"/>
      <c r="J59" s="86"/>
      <c r="K59" s="86"/>
      <c r="L59" s="86"/>
      <c r="M59" s="86"/>
      <c r="N59" s="86"/>
      <c r="O59" s="86"/>
      <c r="P59" s="86"/>
      <c r="Q59" s="86"/>
      <c r="R59" s="86"/>
      <c r="S59" s="86"/>
      <c r="T59" s="86"/>
      <c r="U59" s="86"/>
      <c r="V59" s="86"/>
      <c r="W59" s="86"/>
      <c r="X59" s="86"/>
      <c r="Y59" s="86"/>
      <c r="Z59" s="86"/>
    </row>
    <row r="60" ht="15.75" customHeight="1">
      <c r="A60" s="87"/>
      <c r="B60" s="87"/>
      <c r="C60" s="88"/>
      <c r="D60" s="86"/>
      <c r="E60" s="86"/>
      <c r="F60" s="86"/>
      <c r="G60" s="86"/>
      <c r="H60" s="86"/>
      <c r="I60" s="86"/>
      <c r="J60" s="86"/>
      <c r="K60" s="86"/>
      <c r="L60" s="86"/>
      <c r="M60" s="86"/>
      <c r="N60" s="86"/>
      <c r="O60" s="86"/>
      <c r="P60" s="86"/>
      <c r="Q60" s="86"/>
      <c r="R60" s="86"/>
      <c r="S60" s="86"/>
      <c r="T60" s="86"/>
      <c r="U60" s="86"/>
      <c r="V60" s="86"/>
      <c r="W60" s="86"/>
      <c r="X60" s="86"/>
      <c r="Y60" s="86"/>
      <c r="Z60" s="86"/>
    </row>
    <row r="61" ht="15.75" customHeight="1">
      <c r="A61" s="87"/>
      <c r="B61" s="87"/>
      <c r="C61" s="88"/>
      <c r="D61" s="86"/>
      <c r="E61" s="86"/>
      <c r="F61" s="86"/>
      <c r="G61" s="86"/>
      <c r="H61" s="86"/>
      <c r="I61" s="86"/>
      <c r="J61" s="86"/>
      <c r="K61" s="86"/>
      <c r="L61" s="86"/>
      <c r="M61" s="86"/>
      <c r="N61" s="86"/>
      <c r="O61" s="86"/>
      <c r="P61" s="86"/>
      <c r="Q61" s="86"/>
      <c r="R61" s="86"/>
      <c r="S61" s="86"/>
      <c r="T61" s="86"/>
      <c r="U61" s="86"/>
      <c r="V61" s="86"/>
      <c r="W61" s="86"/>
      <c r="X61" s="86"/>
      <c r="Y61" s="86"/>
      <c r="Z61" s="86"/>
    </row>
    <row r="62" ht="15.75" customHeight="1">
      <c r="A62" s="87"/>
      <c r="B62" s="87"/>
      <c r="C62" s="88"/>
      <c r="D62" s="86"/>
      <c r="E62" s="86"/>
      <c r="F62" s="86"/>
      <c r="G62" s="86"/>
      <c r="H62" s="86"/>
      <c r="I62" s="86"/>
      <c r="J62" s="86"/>
      <c r="K62" s="86"/>
      <c r="L62" s="86"/>
      <c r="M62" s="86"/>
      <c r="N62" s="86"/>
      <c r="O62" s="86"/>
      <c r="P62" s="86"/>
      <c r="Q62" s="86"/>
      <c r="R62" s="86"/>
      <c r="S62" s="86"/>
      <c r="T62" s="86"/>
      <c r="U62" s="86"/>
      <c r="V62" s="86"/>
      <c r="W62" s="86"/>
      <c r="X62" s="86"/>
      <c r="Y62" s="86"/>
      <c r="Z62" s="86"/>
    </row>
    <row r="63" ht="15.75" customHeight="1">
      <c r="A63" s="87"/>
      <c r="B63" s="87"/>
      <c r="C63" s="88"/>
      <c r="D63" s="86"/>
      <c r="E63" s="86"/>
      <c r="F63" s="86"/>
      <c r="G63" s="86"/>
      <c r="H63" s="86"/>
      <c r="I63" s="86"/>
      <c r="J63" s="86"/>
      <c r="K63" s="86"/>
      <c r="L63" s="86"/>
      <c r="M63" s="86"/>
      <c r="N63" s="86"/>
      <c r="O63" s="86"/>
      <c r="P63" s="86"/>
      <c r="Q63" s="86"/>
      <c r="R63" s="86"/>
      <c r="S63" s="86"/>
      <c r="T63" s="86"/>
      <c r="U63" s="86"/>
      <c r="V63" s="86"/>
      <c r="W63" s="86"/>
      <c r="X63" s="86"/>
      <c r="Y63" s="86"/>
      <c r="Z63" s="86"/>
    </row>
    <row r="64" ht="15.75" customHeight="1">
      <c r="A64" s="87"/>
      <c r="B64" s="87"/>
      <c r="C64" s="88"/>
      <c r="D64" s="86"/>
      <c r="E64" s="86"/>
      <c r="F64" s="86"/>
      <c r="G64" s="86"/>
      <c r="H64" s="86"/>
      <c r="I64" s="86"/>
      <c r="J64" s="86"/>
      <c r="K64" s="86"/>
      <c r="L64" s="86"/>
      <c r="M64" s="86"/>
      <c r="N64" s="86"/>
      <c r="O64" s="86"/>
      <c r="P64" s="86"/>
      <c r="Q64" s="86"/>
      <c r="R64" s="86"/>
      <c r="S64" s="86"/>
      <c r="T64" s="86"/>
      <c r="U64" s="86"/>
      <c r="V64" s="86"/>
      <c r="W64" s="86"/>
      <c r="X64" s="86"/>
      <c r="Y64" s="86"/>
      <c r="Z64" s="86"/>
    </row>
    <row r="65" ht="15.75" customHeight="1">
      <c r="A65" s="87"/>
      <c r="B65" s="87"/>
      <c r="C65" s="88"/>
      <c r="D65" s="86"/>
      <c r="E65" s="86"/>
      <c r="F65" s="86"/>
      <c r="G65" s="86"/>
      <c r="H65" s="86"/>
      <c r="I65" s="86"/>
      <c r="J65" s="86"/>
      <c r="K65" s="86"/>
      <c r="L65" s="86"/>
      <c r="M65" s="86"/>
      <c r="N65" s="86"/>
      <c r="O65" s="86"/>
      <c r="P65" s="86"/>
      <c r="Q65" s="86"/>
      <c r="R65" s="86"/>
      <c r="S65" s="86"/>
      <c r="T65" s="86"/>
      <c r="U65" s="86"/>
      <c r="V65" s="86"/>
      <c r="W65" s="86"/>
      <c r="X65" s="86"/>
      <c r="Y65" s="86"/>
      <c r="Z65" s="86"/>
    </row>
    <row r="66" ht="15.75" customHeight="1">
      <c r="A66" s="87"/>
      <c r="B66" s="87"/>
      <c r="C66" s="88"/>
      <c r="D66" s="86"/>
      <c r="E66" s="86"/>
      <c r="F66" s="86"/>
      <c r="G66" s="86"/>
      <c r="H66" s="86"/>
      <c r="I66" s="86"/>
      <c r="J66" s="86"/>
      <c r="K66" s="86"/>
      <c r="L66" s="86"/>
      <c r="M66" s="86"/>
      <c r="N66" s="86"/>
      <c r="O66" s="86"/>
      <c r="P66" s="86"/>
      <c r="Q66" s="86"/>
      <c r="R66" s="86"/>
      <c r="S66" s="86"/>
      <c r="T66" s="86"/>
      <c r="U66" s="86"/>
      <c r="V66" s="86"/>
      <c r="W66" s="86"/>
      <c r="X66" s="86"/>
      <c r="Y66" s="86"/>
      <c r="Z66" s="86"/>
    </row>
    <row r="67" ht="15.75" customHeight="1">
      <c r="A67" s="87"/>
      <c r="B67" s="87"/>
      <c r="C67" s="88"/>
      <c r="D67" s="86"/>
      <c r="E67" s="86"/>
      <c r="F67" s="86"/>
      <c r="G67" s="86"/>
      <c r="H67" s="86"/>
      <c r="I67" s="86"/>
      <c r="J67" s="86"/>
      <c r="K67" s="86"/>
      <c r="L67" s="86"/>
      <c r="M67" s="86"/>
      <c r="N67" s="86"/>
      <c r="O67" s="86"/>
      <c r="P67" s="86"/>
      <c r="Q67" s="86"/>
      <c r="R67" s="86"/>
      <c r="S67" s="86"/>
      <c r="T67" s="86"/>
      <c r="U67" s="86"/>
      <c r="V67" s="86"/>
      <c r="W67" s="86"/>
      <c r="X67" s="86"/>
      <c r="Y67" s="86"/>
      <c r="Z67" s="86"/>
    </row>
    <row r="68" ht="15.75" customHeight="1">
      <c r="A68" s="87"/>
      <c r="B68" s="87"/>
      <c r="C68" s="88"/>
      <c r="D68" s="86"/>
      <c r="E68" s="86"/>
      <c r="F68" s="86"/>
      <c r="G68" s="86"/>
      <c r="H68" s="86"/>
      <c r="I68" s="86"/>
      <c r="J68" s="86"/>
      <c r="K68" s="86"/>
      <c r="L68" s="86"/>
      <c r="M68" s="86"/>
      <c r="N68" s="86"/>
      <c r="O68" s="86"/>
      <c r="P68" s="86"/>
      <c r="Q68" s="86"/>
      <c r="R68" s="86"/>
      <c r="S68" s="86"/>
      <c r="T68" s="86"/>
      <c r="U68" s="86"/>
      <c r="V68" s="86"/>
      <c r="W68" s="86"/>
      <c r="X68" s="86"/>
      <c r="Y68" s="86"/>
      <c r="Z68" s="86"/>
    </row>
    <row r="69" ht="15.75" customHeight="1">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row>
    <row r="70" ht="15.75" customHeight="1">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row>
    <row r="71" ht="15.75" customHeight="1">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row>
    <row r="72" ht="15.75" customHeight="1">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row>
    <row r="73" ht="15.75" customHeight="1">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row>
    <row r="74" ht="15.75" customHeight="1">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row>
    <row r="75" ht="15.75" customHeight="1">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row>
    <row r="76" ht="15.75" customHeight="1">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row>
    <row r="77" ht="15.75" customHeight="1">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row>
    <row r="78" ht="15.75" customHeight="1">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row>
    <row r="79" ht="15.75" customHeight="1">
      <c r="A79" s="86"/>
      <c r="B79" s="86"/>
      <c r="C79" s="86"/>
      <c r="D79" s="86"/>
      <c r="E79" s="86"/>
      <c r="F79" s="86"/>
      <c r="G79" s="86"/>
      <c r="H79" s="86"/>
      <c r="I79" s="86"/>
      <c r="J79" s="86"/>
      <c r="K79" s="86"/>
      <c r="L79" s="86"/>
      <c r="M79" s="86"/>
      <c r="N79" s="86"/>
      <c r="O79" s="86"/>
      <c r="P79" s="86"/>
      <c r="Q79" s="86"/>
      <c r="R79" s="86"/>
      <c r="S79" s="86"/>
      <c r="T79" s="86"/>
      <c r="U79" s="86"/>
      <c r="V79" s="86"/>
      <c r="W79" s="86"/>
      <c r="X79" s="86"/>
      <c r="Y79" s="86"/>
      <c r="Z79" s="86"/>
    </row>
    <row r="80" ht="15.75" customHeight="1">
      <c r="A80" s="86"/>
      <c r="B80" s="86"/>
      <c r="C80" s="86"/>
      <c r="D80" s="86"/>
      <c r="E80" s="86"/>
      <c r="F80" s="86"/>
      <c r="G80" s="86"/>
      <c r="H80" s="86"/>
      <c r="I80" s="86"/>
      <c r="J80" s="86"/>
      <c r="K80" s="86"/>
      <c r="L80" s="86"/>
      <c r="M80" s="86"/>
      <c r="N80" s="86"/>
      <c r="O80" s="86"/>
      <c r="P80" s="86"/>
      <c r="Q80" s="86"/>
      <c r="R80" s="86"/>
      <c r="S80" s="86"/>
      <c r="T80" s="86"/>
      <c r="U80" s="86"/>
      <c r="V80" s="86"/>
      <c r="W80" s="86"/>
      <c r="X80" s="86"/>
      <c r="Y80" s="86"/>
      <c r="Z80" s="86"/>
    </row>
    <row r="81" ht="15.75" customHeight="1">
      <c r="A81" s="86"/>
      <c r="B81" s="86"/>
      <c r="C81" s="86"/>
      <c r="D81" s="86"/>
      <c r="E81" s="86"/>
      <c r="F81" s="86"/>
      <c r="G81" s="86"/>
      <c r="H81" s="86"/>
      <c r="I81" s="86"/>
      <c r="J81" s="86"/>
      <c r="K81" s="86"/>
      <c r="L81" s="86"/>
      <c r="M81" s="86"/>
      <c r="N81" s="86"/>
      <c r="O81" s="86"/>
      <c r="P81" s="86"/>
      <c r="Q81" s="86"/>
      <c r="R81" s="86"/>
      <c r="S81" s="86"/>
      <c r="T81" s="86"/>
      <c r="U81" s="86"/>
      <c r="V81" s="86"/>
      <c r="W81" s="86"/>
      <c r="X81" s="86"/>
      <c r="Y81" s="86"/>
      <c r="Z81" s="86"/>
    </row>
    <row r="82" ht="15.75" customHeight="1">
      <c r="A82" s="86"/>
      <c r="B82" s="86"/>
      <c r="C82" s="86"/>
      <c r="D82" s="86"/>
      <c r="E82" s="86"/>
      <c r="F82" s="86"/>
      <c r="G82" s="86"/>
      <c r="H82" s="86"/>
      <c r="I82" s="86"/>
      <c r="J82" s="86"/>
      <c r="K82" s="86"/>
      <c r="L82" s="86"/>
      <c r="M82" s="86"/>
      <c r="N82" s="86"/>
      <c r="O82" s="86"/>
      <c r="P82" s="86"/>
      <c r="Q82" s="86"/>
      <c r="R82" s="86"/>
      <c r="S82" s="86"/>
      <c r="T82" s="86"/>
      <c r="U82" s="86"/>
      <c r="V82" s="86"/>
      <c r="W82" s="86"/>
      <c r="X82" s="86"/>
      <c r="Y82" s="86"/>
      <c r="Z82" s="86"/>
    </row>
    <row r="83" ht="15.75" customHeight="1">
      <c r="A83" s="86"/>
      <c r="B83" s="86"/>
      <c r="C83" s="86"/>
      <c r="D83" s="86"/>
      <c r="E83" s="86"/>
      <c r="F83" s="86"/>
      <c r="G83" s="86"/>
      <c r="H83" s="86"/>
      <c r="I83" s="86"/>
      <c r="J83" s="86"/>
      <c r="K83" s="86"/>
      <c r="L83" s="86"/>
      <c r="M83" s="86"/>
      <c r="N83" s="86"/>
      <c r="O83" s="86"/>
      <c r="P83" s="86"/>
      <c r="Q83" s="86"/>
      <c r="R83" s="86"/>
      <c r="S83" s="86"/>
      <c r="T83" s="86"/>
      <c r="U83" s="86"/>
      <c r="V83" s="86"/>
      <c r="W83" s="86"/>
      <c r="X83" s="86"/>
      <c r="Y83" s="86"/>
      <c r="Z83" s="86"/>
    </row>
    <row r="84" ht="15.75" customHeight="1">
      <c r="A84" s="86"/>
      <c r="B84" s="86"/>
      <c r="C84" s="86"/>
      <c r="D84" s="86"/>
      <c r="E84" s="86"/>
      <c r="F84" s="86"/>
      <c r="G84" s="86"/>
      <c r="H84" s="86"/>
      <c r="I84" s="86"/>
      <c r="J84" s="86"/>
      <c r="K84" s="86"/>
      <c r="L84" s="86"/>
      <c r="M84" s="86"/>
      <c r="N84" s="86"/>
      <c r="O84" s="86"/>
      <c r="P84" s="86"/>
      <c r="Q84" s="86"/>
      <c r="R84" s="86"/>
      <c r="S84" s="86"/>
      <c r="T84" s="86"/>
      <c r="U84" s="86"/>
      <c r="V84" s="86"/>
      <c r="W84" s="86"/>
      <c r="X84" s="86"/>
      <c r="Y84" s="86"/>
      <c r="Z84" s="86"/>
    </row>
    <row r="85" ht="15.75" customHeight="1">
      <c r="A85" s="86"/>
      <c r="B85" s="86"/>
      <c r="C85" s="86"/>
      <c r="D85" s="86"/>
      <c r="E85" s="86"/>
      <c r="F85" s="86"/>
      <c r="G85" s="86"/>
      <c r="H85" s="86"/>
      <c r="I85" s="86"/>
      <c r="J85" s="86"/>
      <c r="K85" s="86"/>
      <c r="L85" s="86"/>
      <c r="M85" s="86"/>
      <c r="N85" s="86"/>
      <c r="O85" s="86"/>
      <c r="P85" s="86"/>
      <c r="Q85" s="86"/>
      <c r="R85" s="86"/>
      <c r="S85" s="86"/>
      <c r="T85" s="86"/>
      <c r="U85" s="86"/>
      <c r="V85" s="86"/>
      <c r="W85" s="86"/>
      <c r="X85" s="86"/>
      <c r="Y85" s="86"/>
      <c r="Z85" s="86"/>
    </row>
    <row r="86" ht="15.75" customHeight="1">
      <c r="A86" s="86"/>
      <c r="B86" s="86"/>
      <c r="C86" s="86"/>
      <c r="D86" s="86"/>
      <c r="E86" s="86"/>
      <c r="F86" s="86"/>
      <c r="G86" s="86"/>
      <c r="H86" s="86"/>
      <c r="I86" s="86"/>
      <c r="J86" s="86"/>
      <c r="K86" s="86"/>
      <c r="L86" s="86"/>
      <c r="M86" s="86"/>
      <c r="N86" s="86"/>
      <c r="O86" s="86"/>
      <c r="P86" s="86"/>
      <c r="Q86" s="86"/>
      <c r="R86" s="86"/>
      <c r="S86" s="86"/>
      <c r="T86" s="86"/>
      <c r="U86" s="86"/>
      <c r="V86" s="86"/>
      <c r="W86" s="86"/>
      <c r="X86" s="86"/>
      <c r="Y86" s="86"/>
      <c r="Z86" s="86"/>
    </row>
    <row r="87" ht="15.75" customHeight="1">
      <c r="A87" s="86"/>
      <c r="B87" s="86"/>
      <c r="C87" s="86"/>
      <c r="D87" s="86"/>
      <c r="E87" s="86"/>
      <c r="F87" s="86"/>
      <c r="G87" s="86"/>
      <c r="H87" s="86"/>
      <c r="I87" s="86"/>
      <c r="J87" s="86"/>
      <c r="K87" s="86"/>
      <c r="L87" s="86"/>
      <c r="M87" s="86"/>
      <c r="N87" s="86"/>
      <c r="O87" s="86"/>
      <c r="P87" s="86"/>
      <c r="Q87" s="86"/>
      <c r="R87" s="86"/>
      <c r="S87" s="86"/>
      <c r="T87" s="86"/>
      <c r="U87" s="86"/>
      <c r="V87" s="86"/>
      <c r="W87" s="86"/>
      <c r="X87" s="86"/>
      <c r="Y87" s="86"/>
      <c r="Z87" s="86"/>
    </row>
    <row r="88" ht="15.75" customHeight="1">
      <c r="A88" s="86"/>
      <c r="B88" s="86"/>
      <c r="C88" s="86"/>
      <c r="D88" s="86"/>
      <c r="E88" s="86"/>
      <c r="F88" s="86"/>
      <c r="G88" s="86"/>
      <c r="H88" s="86"/>
      <c r="I88" s="86"/>
      <c r="J88" s="86"/>
      <c r="K88" s="86"/>
      <c r="L88" s="86"/>
      <c r="M88" s="86"/>
      <c r="N88" s="86"/>
      <c r="O88" s="86"/>
      <c r="P88" s="86"/>
      <c r="Q88" s="86"/>
      <c r="R88" s="86"/>
      <c r="S88" s="86"/>
      <c r="T88" s="86"/>
      <c r="U88" s="86"/>
      <c r="V88" s="86"/>
      <c r="W88" s="86"/>
      <c r="X88" s="86"/>
      <c r="Y88" s="86"/>
      <c r="Z88" s="86"/>
    </row>
    <row r="89" ht="15.75" customHeight="1">
      <c r="A89" s="86"/>
      <c r="B89" s="86"/>
      <c r="C89" s="86"/>
      <c r="D89" s="86"/>
      <c r="E89" s="86"/>
      <c r="F89" s="86"/>
      <c r="G89" s="86"/>
      <c r="H89" s="86"/>
      <c r="I89" s="86"/>
      <c r="J89" s="86"/>
      <c r="K89" s="86"/>
      <c r="L89" s="86"/>
      <c r="M89" s="86"/>
      <c r="N89" s="86"/>
      <c r="O89" s="86"/>
      <c r="P89" s="86"/>
      <c r="Q89" s="86"/>
      <c r="R89" s="86"/>
      <c r="S89" s="86"/>
      <c r="T89" s="86"/>
      <c r="U89" s="86"/>
      <c r="V89" s="86"/>
      <c r="W89" s="86"/>
      <c r="X89" s="86"/>
      <c r="Y89" s="86"/>
      <c r="Z89" s="86"/>
    </row>
    <row r="90" ht="15.75" customHeight="1">
      <c r="A90" s="86"/>
      <c r="B90" s="86"/>
      <c r="C90" s="86"/>
      <c r="D90" s="86"/>
      <c r="E90" s="86"/>
      <c r="F90" s="86"/>
      <c r="G90" s="86"/>
      <c r="H90" s="86"/>
      <c r="I90" s="86"/>
      <c r="J90" s="86"/>
      <c r="K90" s="86"/>
      <c r="L90" s="86"/>
      <c r="M90" s="86"/>
      <c r="N90" s="86"/>
      <c r="O90" s="86"/>
      <c r="P90" s="86"/>
      <c r="Q90" s="86"/>
      <c r="R90" s="86"/>
      <c r="S90" s="86"/>
      <c r="T90" s="86"/>
      <c r="U90" s="86"/>
      <c r="V90" s="86"/>
      <c r="W90" s="86"/>
      <c r="X90" s="86"/>
      <c r="Y90" s="86"/>
      <c r="Z90" s="86"/>
    </row>
    <row r="91" ht="15.75" customHeight="1">
      <c r="A91" s="86"/>
      <c r="B91" s="86"/>
      <c r="C91" s="86"/>
      <c r="D91" s="86"/>
      <c r="E91" s="86"/>
      <c r="F91" s="86"/>
      <c r="G91" s="86"/>
      <c r="H91" s="86"/>
      <c r="I91" s="86"/>
      <c r="J91" s="86"/>
      <c r="K91" s="86"/>
      <c r="L91" s="86"/>
      <c r="M91" s="86"/>
      <c r="N91" s="86"/>
      <c r="O91" s="86"/>
      <c r="P91" s="86"/>
      <c r="Q91" s="86"/>
      <c r="R91" s="86"/>
      <c r="S91" s="86"/>
      <c r="T91" s="86"/>
      <c r="U91" s="86"/>
      <c r="V91" s="86"/>
      <c r="W91" s="86"/>
      <c r="X91" s="86"/>
      <c r="Y91" s="86"/>
      <c r="Z91" s="86"/>
    </row>
    <row r="92" ht="15.75" customHeight="1">
      <c r="A92" s="86"/>
      <c r="B92" s="86"/>
      <c r="C92" s="86"/>
      <c r="D92" s="86"/>
      <c r="E92" s="86"/>
      <c r="F92" s="86"/>
      <c r="G92" s="86"/>
      <c r="H92" s="86"/>
      <c r="I92" s="86"/>
      <c r="J92" s="86"/>
      <c r="K92" s="86"/>
      <c r="L92" s="86"/>
      <c r="M92" s="86"/>
      <c r="N92" s="86"/>
      <c r="O92" s="86"/>
      <c r="P92" s="86"/>
      <c r="Q92" s="86"/>
      <c r="R92" s="86"/>
      <c r="S92" s="86"/>
      <c r="T92" s="86"/>
      <c r="U92" s="86"/>
      <c r="V92" s="86"/>
      <c r="W92" s="86"/>
      <c r="X92" s="86"/>
      <c r="Y92" s="86"/>
      <c r="Z92" s="86"/>
    </row>
    <row r="93" ht="15.75" customHeight="1">
      <c r="A93" s="86"/>
      <c r="B93" s="86"/>
      <c r="C93" s="86"/>
      <c r="D93" s="86"/>
      <c r="E93" s="86"/>
      <c r="F93" s="86"/>
      <c r="G93" s="86"/>
      <c r="H93" s="86"/>
      <c r="I93" s="86"/>
      <c r="J93" s="86"/>
      <c r="K93" s="86"/>
      <c r="L93" s="86"/>
      <c r="M93" s="86"/>
      <c r="N93" s="86"/>
      <c r="O93" s="86"/>
      <c r="P93" s="86"/>
      <c r="Q93" s="86"/>
      <c r="R93" s="86"/>
      <c r="S93" s="86"/>
      <c r="T93" s="86"/>
      <c r="U93" s="86"/>
      <c r="V93" s="86"/>
      <c r="W93" s="86"/>
      <c r="X93" s="86"/>
      <c r="Y93" s="86"/>
      <c r="Z93" s="86"/>
    </row>
    <row r="94" ht="15.75" customHeight="1">
      <c r="A94" s="86"/>
      <c r="B94" s="86"/>
      <c r="C94" s="86"/>
      <c r="D94" s="86"/>
      <c r="E94" s="86"/>
      <c r="F94" s="86"/>
      <c r="G94" s="86"/>
      <c r="H94" s="86"/>
      <c r="I94" s="86"/>
      <c r="J94" s="86"/>
      <c r="K94" s="86"/>
      <c r="L94" s="86"/>
      <c r="M94" s="86"/>
      <c r="N94" s="86"/>
      <c r="O94" s="86"/>
      <c r="P94" s="86"/>
      <c r="Q94" s="86"/>
      <c r="R94" s="86"/>
      <c r="S94" s="86"/>
      <c r="T94" s="86"/>
      <c r="U94" s="86"/>
      <c r="V94" s="86"/>
      <c r="W94" s="86"/>
      <c r="X94" s="86"/>
      <c r="Y94" s="86"/>
      <c r="Z94" s="86"/>
    </row>
    <row r="95" ht="15.75" customHeight="1">
      <c r="A95" s="86"/>
      <c r="B95" s="86"/>
      <c r="C95" s="86"/>
      <c r="D95" s="86"/>
      <c r="E95" s="86"/>
      <c r="F95" s="86"/>
      <c r="G95" s="86"/>
      <c r="H95" s="86"/>
      <c r="I95" s="86"/>
      <c r="J95" s="86"/>
      <c r="K95" s="86"/>
      <c r="L95" s="86"/>
      <c r="M95" s="86"/>
      <c r="N95" s="86"/>
      <c r="O95" s="86"/>
      <c r="P95" s="86"/>
      <c r="Q95" s="86"/>
      <c r="R95" s="86"/>
      <c r="S95" s="86"/>
      <c r="T95" s="86"/>
      <c r="U95" s="86"/>
      <c r="V95" s="86"/>
      <c r="W95" s="86"/>
      <c r="X95" s="86"/>
      <c r="Y95" s="86"/>
      <c r="Z95" s="86"/>
    </row>
    <row r="96"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row>
    <row r="97"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row>
    <row r="98"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row>
    <row r="99"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row>
    <row r="100"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row>
    <row r="101"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row>
    <row r="102"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row>
    <row r="103"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row>
    <row r="104"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row>
    <row r="105"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row>
    <row r="106"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row>
    <row r="107"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row>
    <row r="108"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row>
    <row r="109"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row>
    <row r="110"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row>
    <row r="111"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row>
    <row r="112"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row>
    <row r="113"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row>
    <row r="114"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row>
    <row r="115"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row>
    <row r="116"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row>
    <row r="117"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row>
    <row r="118"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row>
    <row r="119"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row>
    <row r="120"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row>
    <row r="121"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row>
    <row r="122"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row>
    <row r="123"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row>
    <row r="124"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row>
    <row r="125"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row>
    <row r="126"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row>
    <row r="127"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row>
    <row r="128"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row>
    <row r="129"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row>
    <row r="130"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row>
    <row r="131"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row>
    <row r="132"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row>
    <row r="133"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row>
    <row r="134"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row>
    <row r="135"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row>
    <row r="136"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row>
    <row r="137"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row>
    <row r="138"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row>
    <row r="139"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row>
    <row r="140"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row>
    <row r="141"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row>
    <row r="142"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row>
    <row r="143"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row>
    <row r="144"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row>
    <row r="145"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row>
    <row r="146"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row>
    <row r="147"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row>
    <row r="148"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row>
    <row r="149"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row>
    <row r="150"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row>
    <row r="151"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row>
    <row r="152"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row>
    <row r="153"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row>
    <row r="154"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row>
    <row r="155"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row>
    <row r="156"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row>
    <row r="157"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row>
    <row r="158"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row>
    <row r="159"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row>
    <row r="160"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row>
    <row r="161"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row>
    <row r="162"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row>
    <row r="163"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row>
    <row r="164"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row>
    <row r="165"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row>
    <row r="166"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row>
    <row r="167"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row>
    <row r="168"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row>
    <row r="169"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row>
    <row r="170"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row>
    <row r="171"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row>
    <row r="172"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row>
    <row r="173"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row>
    <row r="174"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row>
    <row r="175"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row>
    <row r="176"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row>
    <row r="177"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row>
    <row r="178"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row>
    <row r="179"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row>
    <row r="180"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row>
    <row r="181"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row>
    <row r="182"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row>
    <row r="183"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row>
    <row r="184"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row>
    <row r="185"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row>
    <row r="186"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row>
    <row r="187"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row>
    <row r="188"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row>
    <row r="189"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row>
    <row r="190"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row>
    <row r="191"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row>
    <row r="192"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row>
    <row r="193"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row>
    <row r="194"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row>
    <row r="195"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row>
    <row r="196"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row>
    <row r="197"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row>
    <row r="198"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row>
    <row r="199"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row>
    <row r="200" ht="15.75" customHeight="1">
      <c r="A200" s="86"/>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c r="Z200" s="86"/>
    </row>
    <row r="201" ht="15.75" customHeight="1">
      <c r="A201" s="86"/>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c r="Z201" s="86"/>
    </row>
    <row r="202" ht="15.75" customHeight="1">
      <c r="A202" s="86"/>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c r="Z202" s="86"/>
    </row>
    <row r="203" ht="15.75" customHeight="1">
      <c r="A203" s="86"/>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c r="Z203" s="86"/>
    </row>
    <row r="204" ht="15.75" customHeight="1">
      <c r="A204" s="86"/>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c r="Z204" s="86"/>
    </row>
    <row r="205" ht="15.75" customHeight="1">
      <c r="A205" s="86"/>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c r="Z205" s="86"/>
    </row>
    <row r="206" ht="15.75" customHeight="1">
      <c r="A206" s="86"/>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c r="Z206" s="86"/>
    </row>
    <row r="207" ht="15.75" customHeight="1">
      <c r="A207" s="86"/>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c r="Z207" s="86"/>
    </row>
    <row r="208" ht="15.75" customHeight="1">
      <c r="A208" s="86"/>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c r="Z208" s="86"/>
    </row>
    <row r="209" ht="15.75" customHeight="1">
      <c r="A209" s="86"/>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c r="Z209" s="86"/>
    </row>
    <row r="210" ht="15.75" customHeight="1">
      <c r="A210" s="86"/>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c r="Z210" s="86"/>
    </row>
    <row r="211" ht="15.75" customHeight="1">
      <c r="A211" s="86"/>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c r="Z211" s="86"/>
    </row>
    <row r="212" ht="15.75" customHeight="1">
      <c r="A212" s="86"/>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c r="Z212" s="86"/>
    </row>
    <row r="213" ht="15.75" customHeight="1">
      <c r="A213" s="86"/>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c r="Z213" s="86"/>
    </row>
    <row r="214" ht="15.75" customHeight="1">
      <c r="A214" s="86"/>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c r="Z214" s="86"/>
    </row>
    <row r="215" ht="15.75" customHeight="1">
      <c r="A215" s="86"/>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c r="Z215" s="86"/>
    </row>
    <row r="216" ht="15.75" customHeight="1">
      <c r="A216" s="86"/>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c r="Z216" s="86"/>
    </row>
    <row r="217" ht="15.75" customHeight="1">
      <c r="A217" s="86"/>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c r="Z217" s="86"/>
    </row>
    <row r="218" ht="15.75" customHeight="1">
      <c r="A218" s="86"/>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c r="Z218" s="86"/>
    </row>
    <row r="219" ht="15.75" customHeight="1">
      <c r="A219" s="86"/>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c r="Z219" s="86"/>
    </row>
    <row r="220" ht="15.75" customHeight="1">
      <c r="A220" s="86"/>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c r="Z220" s="86"/>
    </row>
    <row r="221" ht="15.75" customHeight="1">
      <c r="A221" s="86"/>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c r="Z221" s="86"/>
    </row>
    <row r="222" ht="15.75" customHeight="1">
      <c r="A222" s="86"/>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c r="Z222" s="86"/>
    </row>
    <row r="223" ht="15.75" customHeight="1">
      <c r="A223" s="86"/>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c r="Z223" s="86"/>
    </row>
    <row r="224" ht="15.75" customHeight="1">
      <c r="A224" s="86"/>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c r="Z224" s="86"/>
    </row>
    <row r="225" ht="15.75" customHeight="1">
      <c r="A225" s="86"/>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c r="Z225" s="86"/>
    </row>
    <row r="226" ht="15.75" customHeight="1">
      <c r="A226" s="86"/>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c r="Z226" s="86"/>
    </row>
    <row r="227" ht="15.75" customHeight="1">
      <c r="A227" s="86"/>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c r="Z227" s="86"/>
    </row>
    <row r="228" ht="15.75" customHeight="1">
      <c r="A228" s="86"/>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c r="Z228" s="86"/>
    </row>
    <row r="229" ht="15.75" customHeight="1">
      <c r="A229" s="86"/>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c r="Z229" s="86"/>
    </row>
    <row r="230" ht="15.75" customHeight="1">
      <c r="A230" s="86"/>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c r="Z230" s="86"/>
    </row>
    <row r="231" ht="15.75" customHeight="1">
      <c r="A231" s="86"/>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c r="Z231" s="86"/>
    </row>
    <row r="232" ht="15.75" customHeight="1">
      <c r="A232" s="86"/>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c r="Z232" s="86"/>
    </row>
    <row r="233" ht="15.75" customHeight="1">
      <c r="A233" s="86"/>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c r="Z233" s="86"/>
    </row>
    <row r="234" ht="15.75" customHeight="1">
      <c r="A234" s="86"/>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c r="Z234" s="86"/>
    </row>
    <row r="235" ht="15.75" customHeight="1">
      <c r="A235" s="86"/>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c r="Z235" s="86"/>
    </row>
    <row r="236" ht="15.75" customHeight="1">
      <c r="A236" s="86"/>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c r="Z236" s="86"/>
    </row>
    <row r="237" ht="15.75" customHeight="1">
      <c r="A237" s="86"/>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c r="Z237" s="86"/>
    </row>
    <row r="238" ht="15.75" customHeight="1">
      <c r="A238" s="86"/>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c r="Z238" s="86"/>
    </row>
    <row r="239" ht="15.75" customHeight="1">
      <c r="A239" s="86"/>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c r="Z239" s="86"/>
    </row>
    <row r="240" ht="15.75" customHeight="1">
      <c r="A240" s="86"/>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c r="Z240" s="86"/>
    </row>
    <row r="241" ht="15.75" customHeight="1">
      <c r="A241" s="86"/>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c r="Z241" s="86"/>
    </row>
    <row r="242" ht="15.75" customHeight="1">
      <c r="A242" s="86"/>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c r="Z242" s="86"/>
    </row>
    <row r="243" ht="15.75" customHeight="1">
      <c r="A243" s="86"/>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c r="Z243" s="86"/>
    </row>
    <row r="244" ht="15.75" customHeight="1">
      <c r="A244" s="86"/>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c r="Z244" s="86"/>
    </row>
    <row r="245" ht="15.75" customHeight="1">
      <c r="A245" s="86"/>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c r="Z245" s="86"/>
    </row>
    <row r="246" ht="15.75" customHeight="1">
      <c r="A246" s="86"/>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c r="Z246" s="86"/>
    </row>
    <row r="247" ht="15.75" customHeight="1">
      <c r="A247" s="86"/>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c r="Z247" s="86"/>
    </row>
    <row r="248" ht="15.75" customHeight="1">
      <c r="A248" s="86"/>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c r="Z248" s="86"/>
    </row>
    <row r="249" ht="15.75" customHeight="1">
      <c r="A249" s="86"/>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c r="Z249" s="86"/>
    </row>
    <row r="250" ht="15.75" customHeight="1">
      <c r="A250" s="86"/>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c r="Z250" s="86"/>
    </row>
    <row r="251" ht="15.75" customHeight="1">
      <c r="A251" s="86"/>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c r="Z251" s="86"/>
    </row>
    <row r="252" ht="15.75" customHeight="1">
      <c r="A252" s="86"/>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c r="Z252" s="86"/>
    </row>
    <row r="253" ht="15.75" customHeight="1">
      <c r="A253" s="86"/>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c r="Z253" s="86"/>
    </row>
    <row r="254" ht="15.75" customHeight="1">
      <c r="A254" s="86"/>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c r="Z254" s="86"/>
    </row>
    <row r="255" ht="15.75" customHeight="1">
      <c r="A255" s="86"/>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c r="Z255" s="86"/>
    </row>
    <row r="256" ht="15.75" customHeight="1">
      <c r="A256" s="86"/>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c r="Z256" s="86"/>
    </row>
    <row r="257" ht="15.75" customHeight="1">
      <c r="A257" s="86"/>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c r="Z257" s="86"/>
    </row>
    <row r="258" ht="15.75" customHeight="1">
      <c r="A258" s="86"/>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c r="Z258" s="86"/>
    </row>
    <row r="259" ht="15.75" customHeight="1">
      <c r="A259" s="86"/>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c r="Z259" s="86"/>
    </row>
    <row r="260" ht="15.75" customHeight="1">
      <c r="A260" s="86"/>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c r="Z260" s="86"/>
    </row>
    <row r="261" ht="15.75" customHeight="1">
      <c r="A261" s="86"/>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c r="Z261" s="86"/>
    </row>
    <row r="262" ht="15.75" customHeight="1">
      <c r="A262" s="86"/>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c r="Z262" s="86"/>
    </row>
    <row r="263" ht="15.75" customHeight="1">
      <c r="A263" s="86"/>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c r="Z263" s="86"/>
    </row>
    <row r="264" ht="15.75" customHeight="1">
      <c r="A264" s="86"/>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c r="Z264" s="86"/>
    </row>
    <row r="265" ht="15.75" customHeight="1">
      <c r="A265" s="86"/>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c r="Z265" s="86"/>
    </row>
    <row r="266" ht="15.75" customHeight="1">
      <c r="A266" s="86"/>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c r="Z266" s="86"/>
    </row>
    <row r="267" ht="15.75" customHeight="1">
      <c r="A267" s="86"/>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c r="Z267" s="86"/>
    </row>
    <row r="268" ht="15.75" customHeight="1">
      <c r="A268" s="86"/>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c r="Z268" s="86"/>
    </row>
    <row r="269" ht="15.75" customHeight="1">
      <c r="A269" s="86"/>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c r="Z269" s="86"/>
    </row>
    <row r="270" ht="15.75" customHeight="1">
      <c r="A270" s="86"/>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c r="Z270" s="86"/>
    </row>
    <row r="271" ht="15.75" customHeight="1">
      <c r="A271" s="86"/>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c r="Z271" s="86"/>
    </row>
    <row r="272" ht="15.75" customHeight="1">
      <c r="A272" s="86"/>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c r="Z272" s="86"/>
    </row>
    <row r="273" ht="15.75" customHeight="1">
      <c r="A273" s="86"/>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c r="Z273" s="86"/>
    </row>
    <row r="274" ht="15.75" customHeight="1">
      <c r="A274" s="86"/>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c r="Z274" s="86"/>
    </row>
    <row r="275" ht="15.75" customHeight="1">
      <c r="A275" s="86"/>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c r="Z275" s="86"/>
    </row>
    <row r="276" ht="15.75" customHeight="1">
      <c r="A276" s="86"/>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c r="Z276" s="86"/>
    </row>
    <row r="277" ht="15.75" customHeight="1">
      <c r="A277" s="86"/>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c r="Z277" s="86"/>
    </row>
    <row r="278" ht="15.75" customHeight="1">
      <c r="A278" s="86"/>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c r="Z278" s="86"/>
    </row>
    <row r="279" ht="15.75" customHeight="1">
      <c r="A279" s="86"/>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c r="Z279" s="86"/>
    </row>
    <row r="280" ht="15.75" customHeight="1">
      <c r="A280" s="86"/>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c r="Z280" s="86"/>
    </row>
    <row r="281" ht="15.75" customHeight="1">
      <c r="A281" s="86"/>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c r="Z281" s="86"/>
    </row>
    <row r="282" ht="15.75" customHeight="1">
      <c r="A282" s="86"/>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c r="Z282" s="86"/>
    </row>
    <row r="283" ht="15.75" customHeight="1">
      <c r="A283" s="86"/>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c r="Z283" s="86"/>
    </row>
    <row r="284" ht="15.75" customHeight="1">
      <c r="A284" s="86"/>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c r="Z284" s="86"/>
    </row>
    <row r="285" ht="15.75" customHeight="1">
      <c r="A285" s="86"/>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c r="Z285" s="86"/>
    </row>
    <row r="286" ht="15.75" customHeight="1">
      <c r="A286" s="86"/>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c r="Z286" s="86"/>
    </row>
    <row r="287" ht="15.75" customHeight="1">
      <c r="A287" s="86"/>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c r="Z287" s="86"/>
    </row>
    <row r="288" ht="15.75" customHeight="1">
      <c r="A288" s="86"/>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c r="Z288" s="86"/>
    </row>
    <row r="289" ht="15.75" customHeight="1">
      <c r="A289" s="86"/>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c r="Z289" s="86"/>
    </row>
    <row r="290" ht="15.75" customHeight="1">
      <c r="A290" s="86"/>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c r="Z290" s="86"/>
    </row>
    <row r="291" ht="15.75" customHeight="1">
      <c r="A291" s="86"/>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c r="Z291" s="86"/>
    </row>
    <row r="292" ht="15.75" customHeight="1">
      <c r="A292" s="86"/>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c r="Z292" s="86"/>
    </row>
    <row r="293" ht="15.75" customHeight="1">
      <c r="A293" s="86"/>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c r="Z293" s="86"/>
    </row>
    <row r="294" ht="15.75" customHeight="1">
      <c r="A294" s="86"/>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c r="Z294" s="86"/>
    </row>
    <row r="295" ht="15.75" customHeight="1">
      <c r="A295" s="86"/>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c r="Z295" s="86"/>
    </row>
    <row r="296" ht="15.75" customHeight="1">
      <c r="A296" s="86"/>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c r="Z296" s="86"/>
    </row>
    <row r="297" ht="15.75" customHeight="1">
      <c r="A297" s="86"/>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c r="Z297" s="86"/>
    </row>
    <row r="298" ht="15.75" customHeight="1">
      <c r="A298" s="86"/>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c r="Z298" s="86"/>
    </row>
    <row r="299" ht="15.75" customHeight="1">
      <c r="A299" s="86"/>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c r="Z299" s="86"/>
    </row>
    <row r="300" ht="15.75" customHeight="1">
      <c r="A300" s="86"/>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c r="Z300" s="86"/>
    </row>
    <row r="301" ht="15.75" customHeight="1">
      <c r="A301" s="86"/>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c r="Z301" s="86"/>
    </row>
    <row r="302" ht="15.75" customHeight="1">
      <c r="A302" s="86"/>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c r="Z302" s="86"/>
    </row>
    <row r="303" ht="15.75" customHeight="1">
      <c r="A303" s="86"/>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c r="Z303" s="86"/>
    </row>
    <row r="304" ht="15.75" customHeight="1">
      <c r="A304" s="86"/>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c r="Z304" s="86"/>
    </row>
    <row r="305" ht="15.75" customHeight="1">
      <c r="A305" s="86"/>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c r="Z305" s="86"/>
    </row>
    <row r="306" ht="15.75" customHeight="1">
      <c r="A306" s="86"/>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c r="Z306" s="86"/>
    </row>
    <row r="307" ht="15.75" customHeight="1">
      <c r="A307" s="86"/>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c r="Z307" s="86"/>
    </row>
    <row r="308" ht="15.75" customHeight="1">
      <c r="A308" s="86"/>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c r="Z308" s="86"/>
    </row>
    <row r="309" ht="15.75" customHeight="1">
      <c r="A309" s="86"/>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c r="Z309" s="86"/>
    </row>
    <row r="310" ht="15.75" customHeight="1">
      <c r="A310" s="86"/>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c r="Z310" s="86"/>
    </row>
    <row r="311" ht="15.75" customHeight="1">
      <c r="A311" s="86"/>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c r="Z311" s="86"/>
    </row>
    <row r="312" ht="15.75" customHeight="1">
      <c r="A312" s="86"/>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c r="Z312" s="86"/>
    </row>
    <row r="313" ht="15.75" customHeight="1">
      <c r="A313" s="86"/>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c r="Z313" s="86"/>
    </row>
    <row r="314" ht="15.75" customHeight="1">
      <c r="A314" s="86"/>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c r="Z314" s="86"/>
    </row>
    <row r="315" ht="15.75" customHeight="1">
      <c r="A315" s="86"/>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c r="Z315" s="86"/>
    </row>
    <row r="316" ht="15.75" customHeight="1">
      <c r="A316" s="86"/>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c r="Z316" s="86"/>
    </row>
    <row r="317" ht="15.75" customHeight="1">
      <c r="A317" s="86"/>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c r="Z317" s="86"/>
    </row>
    <row r="318" ht="15.75" customHeight="1">
      <c r="A318" s="86"/>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c r="Z318" s="86"/>
    </row>
    <row r="319" ht="15.75" customHeight="1">
      <c r="A319" s="86"/>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c r="Z319" s="86"/>
    </row>
    <row r="320" ht="15.75" customHeight="1">
      <c r="A320" s="86"/>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c r="Z320" s="86"/>
    </row>
    <row r="321" ht="15.75" customHeight="1">
      <c r="A321" s="86"/>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c r="Z321" s="86"/>
    </row>
    <row r="322" ht="15.75" customHeight="1">
      <c r="A322" s="86"/>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c r="Z322" s="86"/>
    </row>
    <row r="323" ht="15.75" customHeight="1">
      <c r="A323" s="86"/>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c r="Z323" s="86"/>
    </row>
    <row r="324" ht="15.75" customHeight="1">
      <c r="A324" s="86"/>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c r="Z324" s="86"/>
    </row>
    <row r="325" ht="15.75" customHeight="1">
      <c r="A325" s="86"/>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c r="Z325" s="86"/>
    </row>
    <row r="326" ht="15.75" customHeight="1">
      <c r="A326" s="86"/>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c r="Z326" s="86"/>
    </row>
    <row r="327" ht="15.75" customHeight="1">
      <c r="A327" s="86"/>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c r="Z327" s="86"/>
    </row>
    <row r="328" ht="15.75" customHeight="1">
      <c r="A328" s="86"/>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c r="Z328" s="86"/>
    </row>
    <row r="329" ht="15.75" customHeight="1">
      <c r="A329" s="86"/>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c r="Z329" s="86"/>
    </row>
    <row r="330" ht="15.75" customHeight="1">
      <c r="A330" s="86"/>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c r="Z330" s="86"/>
    </row>
    <row r="331" ht="15.75" customHeight="1">
      <c r="A331" s="86"/>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c r="Z331" s="86"/>
    </row>
    <row r="332" ht="15.75" customHeight="1">
      <c r="A332" s="86"/>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c r="Z332" s="86"/>
    </row>
    <row r="333" ht="15.75" customHeight="1">
      <c r="A333" s="86"/>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c r="Z333" s="86"/>
    </row>
    <row r="334" ht="15.75" customHeight="1">
      <c r="A334" s="86"/>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c r="Z334" s="86"/>
    </row>
    <row r="335" ht="15.75" customHeight="1">
      <c r="A335" s="86"/>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c r="Z335" s="86"/>
    </row>
    <row r="336" ht="15.75" customHeight="1">
      <c r="A336" s="86"/>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c r="Z336" s="86"/>
    </row>
    <row r="337" ht="15.75" customHeight="1">
      <c r="A337" s="86"/>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c r="Z337" s="86"/>
    </row>
    <row r="338" ht="15.75" customHeight="1">
      <c r="A338" s="86"/>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c r="Z338" s="86"/>
    </row>
    <row r="339" ht="15.75" customHeight="1">
      <c r="A339" s="86"/>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c r="Z339" s="86"/>
    </row>
    <row r="340" ht="15.75" customHeight="1">
      <c r="A340" s="86"/>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c r="Z340" s="86"/>
    </row>
    <row r="341" ht="15.75" customHeight="1">
      <c r="A341" s="86"/>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c r="Z341" s="86"/>
    </row>
    <row r="342" ht="15.75"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row>
    <row r="343" ht="15.75" customHeight="1">
      <c r="A343" s="86"/>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row>
    <row r="344" ht="15.75" customHeight="1">
      <c r="A344" s="86"/>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c r="Z344" s="86"/>
    </row>
    <row r="345" ht="15.75" customHeight="1">
      <c r="A345" s="86"/>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c r="Z345" s="86"/>
    </row>
    <row r="346" ht="15.75" customHeight="1">
      <c r="A346" s="86"/>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c r="Z346" s="86"/>
    </row>
    <row r="347" ht="15.75" customHeight="1">
      <c r="A347" s="86"/>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c r="Z347" s="86"/>
    </row>
    <row r="348" ht="15.75" customHeight="1">
      <c r="A348" s="86"/>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c r="Z348" s="86"/>
    </row>
    <row r="349" ht="15.75" customHeight="1">
      <c r="A349" s="86"/>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c r="Z349" s="86"/>
    </row>
    <row r="350" ht="15.75" customHeight="1">
      <c r="A350" s="86"/>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c r="Z350" s="86"/>
    </row>
    <row r="351" ht="15.75" customHeight="1">
      <c r="A351" s="86"/>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c r="Z351" s="86"/>
    </row>
    <row r="352" ht="15.75" customHeight="1">
      <c r="A352" s="86"/>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c r="Z352" s="86"/>
    </row>
    <row r="353" ht="15.75" customHeight="1">
      <c r="A353" s="86"/>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c r="Z353" s="86"/>
    </row>
    <row r="354" ht="15.75" customHeight="1">
      <c r="A354" s="86"/>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c r="Z354" s="86"/>
    </row>
    <row r="355" ht="15.75" customHeight="1">
      <c r="A355" s="86"/>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c r="Z355" s="86"/>
    </row>
    <row r="356" ht="15.75" customHeight="1">
      <c r="A356" s="86"/>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c r="Z356" s="86"/>
    </row>
    <row r="357" ht="15.75" customHeight="1">
      <c r="A357" s="86"/>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c r="Z357" s="86"/>
    </row>
    <row r="358" ht="15.75" customHeight="1">
      <c r="A358" s="86"/>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c r="Z358" s="86"/>
    </row>
    <row r="359" ht="15.75" customHeight="1">
      <c r="A359" s="86"/>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c r="Z359" s="86"/>
    </row>
    <row r="360" ht="15.75" customHeight="1">
      <c r="A360" s="86"/>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c r="Z360" s="86"/>
    </row>
    <row r="361" ht="15.75" customHeight="1">
      <c r="A361" s="86"/>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c r="Z361" s="86"/>
    </row>
    <row r="362" ht="15.75" customHeight="1">
      <c r="A362" s="86"/>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c r="Z362" s="86"/>
    </row>
    <row r="363" ht="15.75" customHeight="1">
      <c r="A363" s="86"/>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c r="Z363" s="86"/>
    </row>
    <row r="364" ht="15.75" customHeight="1">
      <c r="A364" s="86"/>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c r="Z364" s="86"/>
    </row>
    <row r="365" ht="15.75" customHeight="1">
      <c r="A365" s="86"/>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c r="Z365" s="86"/>
    </row>
    <row r="366" ht="15.75" customHeight="1">
      <c r="A366" s="86"/>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c r="Z366" s="86"/>
    </row>
    <row r="367" ht="15.75" customHeight="1">
      <c r="A367" s="86"/>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c r="Z367" s="86"/>
    </row>
    <row r="368" ht="15.75" customHeight="1">
      <c r="A368" s="86"/>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c r="Z368" s="86"/>
    </row>
    <row r="369" ht="15.75" customHeight="1">
      <c r="A369" s="86"/>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c r="Z369" s="86"/>
    </row>
    <row r="370" ht="15.75" customHeight="1">
      <c r="A370" s="86"/>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c r="Z370" s="86"/>
    </row>
    <row r="371" ht="15.75" customHeight="1">
      <c r="A371" s="86"/>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c r="Z371" s="86"/>
    </row>
    <row r="372" ht="15.75" customHeight="1">
      <c r="A372" s="86"/>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c r="Z372" s="86"/>
    </row>
    <row r="373" ht="15.75" customHeight="1">
      <c r="A373" s="86"/>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c r="Z373" s="86"/>
    </row>
    <row r="374" ht="15.75" customHeight="1">
      <c r="A374" s="86"/>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c r="Z374" s="86"/>
    </row>
    <row r="375" ht="15.75" customHeight="1">
      <c r="A375" s="86"/>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c r="Z375" s="86"/>
    </row>
    <row r="376" ht="15.75" customHeight="1">
      <c r="A376" s="86"/>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c r="Z376" s="86"/>
    </row>
    <row r="377" ht="15.75" customHeight="1">
      <c r="A377" s="86"/>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c r="Z377" s="86"/>
    </row>
    <row r="378" ht="15.75" customHeight="1">
      <c r="A378" s="86"/>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c r="Z378" s="86"/>
    </row>
    <row r="379" ht="15.75" customHeight="1">
      <c r="A379" s="86"/>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c r="Z379" s="86"/>
    </row>
    <row r="380" ht="15.75" customHeight="1">
      <c r="A380" s="86"/>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c r="Z380" s="86"/>
    </row>
    <row r="381" ht="15.75" customHeight="1">
      <c r="A381" s="86"/>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c r="Z381" s="86"/>
    </row>
    <row r="382" ht="15.75" customHeight="1">
      <c r="A382" s="86"/>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c r="Z382" s="86"/>
    </row>
    <row r="383" ht="15.75" customHeight="1">
      <c r="A383" s="86"/>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c r="Z383" s="86"/>
    </row>
    <row r="384" ht="15.75" customHeight="1">
      <c r="A384" s="86"/>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c r="Z384" s="86"/>
    </row>
    <row r="385" ht="15.75" customHeight="1">
      <c r="A385" s="86"/>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c r="Z385" s="86"/>
    </row>
    <row r="386" ht="15.75" customHeight="1">
      <c r="A386" s="86"/>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c r="Z386" s="86"/>
    </row>
    <row r="387" ht="15.75" customHeight="1">
      <c r="A387" s="86"/>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c r="Z387" s="86"/>
    </row>
    <row r="388" ht="15.75" customHeight="1">
      <c r="A388" s="86"/>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c r="Z388" s="86"/>
    </row>
    <row r="389" ht="15.75" customHeight="1">
      <c r="A389" s="86"/>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c r="Z389" s="86"/>
    </row>
    <row r="390" ht="15.75" customHeight="1">
      <c r="A390" s="86"/>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c r="Z390" s="86"/>
    </row>
    <row r="391" ht="15.75" customHeight="1">
      <c r="A391" s="86"/>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c r="Z391" s="86"/>
    </row>
    <row r="392" ht="15.75" customHeight="1">
      <c r="A392" s="86"/>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c r="Z392" s="86"/>
    </row>
    <row r="393" ht="15.75" customHeight="1">
      <c r="A393" s="86"/>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c r="Z393" s="86"/>
    </row>
    <row r="394" ht="15.75" customHeight="1">
      <c r="A394" s="86"/>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c r="Z394" s="86"/>
    </row>
    <row r="395" ht="15.75" customHeight="1">
      <c r="A395" s="86"/>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c r="Z395" s="86"/>
    </row>
    <row r="396" ht="15.75" customHeight="1">
      <c r="A396" s="86"/>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c r="Z396" s="86"/>
    </row>
    <row r="397" ht="15.75" customHeight="1">
      <c r="A397" s="86"/>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c r="Z397" s="86"/>
    </row>
    <row r="398" ht="15.75" customHeight="1">
      <c r="A398" s="86"/>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c r="Z398" s="86"/>
    </row>
    <row r="399" ht="15.75" customHeight="1">
      <c r="A399" s="86"/>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c r="Z399" s="86"/>
    </row>
    <row r="400" ht="15.75" customHeight="1">
      <c r="A400" s="86"/>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c r="Z400" s="86"/>
    </row>
    <row r="401" ht="15.75" customHeight="1">
      <c r="A401" s="86"/>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c r="Z401" s="86"/>
    </row>
    <row r="402" ht="15.75" customHeight="1">
      <c r="A402" s="86"/>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c r="Z402" s="86"/>
    </row>
    <row r="403" ht="15.75" customHeight="1">
      <c r="A403" s="86"/>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c r="Z403" s="86"/>
    </row>
    <row r="404" ht="15.75" customHeight="1">
      <c r="A404" s="86"/>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c r="Z404" s="86"/>
    </row>
    <row r="405" ht="15.75" customHeight="1">
      <c r="A405" s="86"/>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c r="Z405" s="86"/>
    </row>
    <row r="406" ht="15.75" customHeight="1">
      <c r="A406" s="86"/>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c r="Z406" s="86"/>
    </row>
    <row r="407" ht="15.75" customHeight="1">
      <c r="A407" s="86"/>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c r="Z407" s="86"/>
    </row>
    <row r="408" ht="15.75" customHeight="1">
      <c r="A408" s="86"/>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c r="Z408" s="86"/>
    </row>
    <row r="409" ht="15.75" customHeight="1">
      <c r="A409" s="86"/>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c r="Z409" s="86"/>
    </row>
    <row r="410" ht="15.75" customHeight="1">
      <c r="A410" s="86"/>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c r="Z410" s="86"/>
    </row>
    <row r="411" ht="15.75" customHeight="1">
      <c r="A411" s="86"/>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c r="Z411" s="86"/>
    </row>
    <row r="412" ht="15.75" customHeight="1">
      <c r="A412" s="86"/>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c r="Z412" s="86"/>
    </row>
    <row r="413" ht="15.75" customHeight="1">
      <c r="A413" s="86"/>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c r="Z413" s="86"/>
    </row>
    <row r="414" ht="15.75" customHeight="1">
      <c r="A414" s="86"/>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c r="Z414" s="86"/>
    </row>
    <row r="415" ht="15.75" customHeight="1">
      <c r="A415" s="86"/>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c r="Z415" s="86"/>
    </row>
    <row r="416" ht="15.75" customHeight="1">
      <c r="A416" s="86"/>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c r="Z416" s="86"/>
    </row>
    <row r="417" ht="15.75" customHeight="1">
      <c r="A417" s="86"/>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c r="Z417" s="86"/>
    </row>
    <row r="418" ht="15.75" customHeight="1">
      <c r="A418" s="86"/>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c r="Z418" s="86"/>
    </row>
    <row r="419" ht="15.75" customHeight="1">
      <c r="A419" s="86"/>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c r="Z419" s="86"/>
    </row>
    <row r="420" ht="15.75" customHeight="1">
      <c r="A420" s="86"/>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c r="Z420" s="86"/>
    </row>
    <row r="421" ht="15.75" customHeight="1">
      <c r="A421" s="86"/>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c r="Z421" s="86"/>
    </row>
    <row r="422" ht="15.75" customHeight="1">
      <c r="A422" s="86"/>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c r="Z422" s="86"/>
    </row>
    <row r="423" ht="15.75" customHeight="1">
      <c r="A423" s="86"/>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c r="Z423" s="86"/>
    </row>
    <row r="424" ht="15.75" customHeight="1">
      <c r="A424" s="86"/>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c r="Z424" s="86"/>
    </row>
    <row r="425" ht="15.75" customHeight="1">
      <c r="A425" s="86"/>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c r="Z425" s="86"/>
    </row>
    <row r="426" ht="15.75" customHeight="1">
      <c r="A426" s="86"/>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c r="Z426" s="86"/>
    </row>
    <row r="427" ht="15.75" customHeight="1">
      <c r="A427" s="86"/>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c r="Z427" s="86"/>
    </row>
    <row r="428" ht="15.75" customHeight="1">
      <c r="A428" s="86"/>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c r="Z428" s="86"/>
    </row>
    <row r="429" ht="15.75" customHeight="1">
      <c r="A429" s="86"/>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c r="Z429" s="86"/>
    </row>
    <row r="430" ht="15.75" customHeight="1">
      <c r="A430" s="86"/>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c r="Z430" s="86"/>
    </row>
    <row r="431" ht="15.75" customHeight="1">
      <c r="A431" s="86"/>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c r="Z431" s="86"/>
    </row>
    <row r="432" ht="15.75" customHeight="1">
      <c r="A432" s="86"/>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c r="Z432" s="86"/>
    </row>
    <row r="433" ht="15.75" customHeight="1">
      <c r="A433" s="86"/>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c r="Z433" s="86"/>
    </row>
    <row r="434" ht="15.75" customHeight="1">
      <c r="A434" s="86"/>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c r="Z434" s="86"/>
    </row>
    <row r="435" ht="15.75" customHeight="1">
      <c r="A435" s="86"/>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c r="Z435" s="86"/>
    </row>
    <row r="436" ht="15.75" customHeight="1">
      <c r="A436" s="86"/>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c r="Z436" s="86"/>
    </row>
    <row r="437" ht="15.75" customHeight="1">
      <c r="A437" s="86"/>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c r="Z437" s="86"/>
    </row>
    <row r="438" ht="15.75" customHeight="1">
      <c r="A438" s="86"/>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c r="Z438" s="86"/>
    </row>
    <row r="439" ht="15.75" customHeight="1">
      <c r="A439" s="86"/>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c r="Z439" s="86"/>
    </row>
    <row r="440" ht="15.75" customHeight="1">
      <c r="A440" s="86"/>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c r="Z440" s="86"/>
    </row>
    <row r="441" ht="15.75" customHeight="1">
      <c r="A441" s="86"/>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row>
    <row r="442" ht="15.75" customHeight="1">
      <c r="A442" s="86"/>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c r="Z442" s="86"/>
    </row>
    <row r="443" ht="15.75" customHeight="1">
      <c r="A443" s="86"/>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c r="Z443" s="86"/>
    </row>
    <row r="444" ht="15.75" customHeight="1">
      <c r="A444" s="86"/>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c r="Z444" s="86"/>
    </row>
    <row r="445" ht="15.75" customHeight="1">
      <c r="A445" s="86"/>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c r="Z445" s="86"/>
    </row>
    <row r="446" ht="15.75" customHeight="1">
      <c r="A446" s="86"/>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c r="Z446" s="86"/>
    </row>
    <row r="447" ht="15.75" customHeight="1">
      <c r="A447" s="86"/>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c r="Z447" s="86"/>
    </row>
    <row r="448" ht="15.75" customHeight="1">
      <c r="A448" s="86"/>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c r="Z448" s="86"/>
    </row>
    <row r="449" ht="15.75" customHeight="1">
      <c r="A449" s="86"/>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c r="Z449" s="86"/>
    </row>
    <row r="450" ht="15.75" customHeight="1">
      <c r="A450" s="86"/>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c r="Z450" s="86"/>
    </row>
    <row r="451" ht="15.75" customHeight="1">
      <c r="A451" s="86"/>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c r="Z451" s="86"/>
    </row>
    <row r="452" ht="15.75" customHeight="1">
      <c r="A452" s="86"/>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c r="Z452" s="86"/>
    </row>
    <row r="453" ht="15.75" customHeight="1">
      <c r="A453" s="86"/>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c r="Z453" s="86"/>
    </row>
    <row r="454" ht="15.75" customHeight="1">
      <c r="A454" s="86"/>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c r="Z454" s="86"/>
    </row>
    <row r="455" ht="15.75" customHeight="1">
      <c r="A455" s="86"/>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c r="Z455" s="86"/>
    </row>
    <row r="456" ht="15.75" customHeight="1">
      <c r="A456" s="86"/>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c r="Z456" s="86"/>
    </row>
    <row r="457" ht="15.75" customHeight="1">
      <c r="A457" s="86"/>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c r="Z457" s="86"/>
    </row>
    <row r="458" ht="15.75" customHeight="1">
      <c r="A458" s="86"/>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c r="Z458" s="86"/>
    </row>
    <row r="459" ht="15.75" customHeight="1">
      <c r="A459" s="86"/>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c r="Z459" s="86"/>
    </row>
    <row r="460" ht="15.75" customHeight="1">
      <c r="A460" s="86"/>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c r="Z460" s="86"/>
    </row>
    <row r="461" ht="15.75" customHeight="1">
      <c r="A461" s="86"/>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c r="Z461" s="86"/>
    </row>
    <row r="462" ht="15.75" customHeight="1">
      <c r="A462" s="86"/>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c r="Z462" s="86"/>
    </row>
    <row r="463" ht="15.75" customHeight="1">
      <c r="A463" s="86"/>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c r="Z463" s="86"/>
    </row>
    <row r="464" ht="15.75" customHeight="1">
      <c r="A464" s="86"/>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c r="Z464" s="86"/>
    </row>
    <row r="465" ht="15.75" customHeight="1">
      <c r="A465" s="86"/>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c r="Z465" s="86"/>
    </row>
    <row r="466" ht="15.75" customHeight="1">
      <c r="A466" s="86"/>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c r="Z466" s="86"/>
    </row>
    <row r="467" ht="15.75" customHeight="1">
      <c r="A467" s="86"/>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c r="Z467" s="86"/>
    </row>
    <row r="468" ht="15.75" customHeight="1">
      <c r="A468" s="86"/>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c r="Z468" s="86"/>
    </row>
    <row r="469" ht="15.75" customHeight="1">
      <c r="A469" s="86"/>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c r="Z469" s="86"/>
    </row>
    <row r="470" ht="15.75" customHeight="1">
      <c r="A470" s="86"/>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c r="Z470" s="86"/>
    </row>
    <row r="471" ht="15.75" customHeight="1">
      <c r="A471" s="86"/>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c r="Z471" s="86"/>
    </row>
    <row r="472" ht="15.75" customHeight="1">
      <c r="A472" s="86"/>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c r="Z472" s="86"/>
    </row>
    <row r="473" ht="15.75" customHeight="1">
      <c r="A473" s="86"/>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c r="Z473" s="86"/>
    </row>
    <row r="474" ht="15.75" customHeight="1">
      <c r="A474" s="86"/>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c r="Z474" s="86"/>
    </row>
    <row r="475" ht="15.75" customHeight="1">
      <c r="A475" s="86"/>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c r="Z475" s="86"/>
    </row>
    <row r="476" ht="15.75" customHeight="1">
      <c r="A476" s="86"/>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c r="Z476" s="86"/>
    </row>
    <row r="477" ht="15.75" customHeight="1">
      <c r="A477" s="86"/>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c r="Z477" s="86"/>
    </row>
    <row r="478" ht="15.75" customHeight="1">
      <c r="A478" s="86"/>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c r="Z478" s="86"/>
    </row>
    <row r="479" ht="15.75" customHeight="1">
      <c r="A479" s="86"/>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c r="Z479" s="86"/>
    </row>
    <row r="480" ht="15.75" customHeight="1">
      <c r="A480" s="86"/>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c r="Z480" s="86"/>
    </row>
    <row r="481" ht="15.75" customHeight="1">
      <c r="A481" s="86"/>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c r="Z481" s="86"/>
    </row>
    <row r="482" ht="15.75" customHeight="1">
      <c r="A482" s="86"/>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c r="Z482" s="86"/>
    </row>
    <row r="483" ht="15.75" customHeight="1">
      <c r="A483" s="86"/>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c r="Z483" s="86"/>
    </row>
    <row r="484" ht="15.75" customHeight="1">
      <c r="A484" s="86"/>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c r="Z484" s="86"/>
    </row>
    <row r="485" ht="15.75" customHeight="1">
      <c r="A485" s="86"/>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c r="Z485" s="86"/>
    </row>
    <row r="486" ht="15.75" customHeight="1">
      <c r="A486" s="86"/>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c r="Z486" s="86"/>
    </row>
    <row r="487" ht="15.75" customHeight="1">
      <c r="A487" s="86"/>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c r="Z487" s="86"/>
    </row>
    <row r="488" ht="15.75" customHeight="1">
      <c r="A488" s="86"/>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c r="Z488" s="86"/>
    </row>
    <row r="489" ht="15.75" customHeight="1">
      <c r="A489" s="86"/>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c r="Z489" s="86"/>
    </row>
    <row r="490" ht="15.75" customHeight="1">
      <c r="A490" s="86"/>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c r="Z490" s="86"/>
    </row>
    <row r="491" ht="15.75" customHeight="1">
      <c r="A491" s="86"/>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c r="Z491" s="86"/>
    </row>
    <row r="492" ht="15.75" customHeight="1">
      <c r="A492" s="86"/>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c r="Z492" s="86"/>
    </row>
    <row r="493" ht="15.75" customHeight="1">
      <c r="A493" s="86"/>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c r="Z493" s="86"/>
    </row>
    <row r="494" ht="15.75" customHeight="1">
      <c r="A494" s="86"/>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c r="Z494" s="86"/>
    </row>
    <row r="495" ht="15.75" customHeight="1">
      <c r="A495" s="86"/>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c r="Z495" s="86"/>
    </row>
    <row r="496" ht="15.75" customHeight="1">
      <c r="A496" s="86"/>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c r="Z496" s="86"/>
    </row>
    <row r="497" ht="15.75" customHeight="1">
      <c r="A497" s="86"/>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c r="Z497" s="86"/>
    </row>
    <row r="498" ht="15.75" customHeight="1">
      <c r="A498" s="86"/>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c r="Z498" s="86"/>
    </row>
    <row r="499" ht="15.75" customHeight="1">
      <c r="A499" s="86"/>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c r="Z499" s="86"/>
    </row>
    <row r="500" ht="15.75" customHeight="1">
      <c r="A500" s="86"/>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c r="Z500" s="86"/>
    </row>
    <row r="501" ht="15.75" customHeight="1">
      <c r="A501" s="86"/>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c r="Z501" s="86"/>
    </row>
    <row r="502" ht="15.75" customHeight="1">
      <c r="A502" s="86"/>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c r="Z502" s="86"/>
    </row>
    <row r="503" ht="15.75" customHeight="1">
      <c r="A503" s="86"/>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c r="Z503" s="86"/>
    </row>
    <row r="504" ht="15.75" customHeight="1">
      <c r="A504" s="86"/>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c r="Z504" s="86"/>
    </row>
    <row r="505" ht="15.75" customHeight="1">
      <c r="A505" s="86"/>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c r="Z505" s="86"/>
    </row>
    <row r="506" ht="15.75" customHeight="1">
      <c r="A506" s="86"/>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c r="Z506" s="86"/>
    </row>
    <row r="507" ht="15.75" customHeight="1">
      <c r="A507" s="86"/>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c r="Z507" s="86"/>
    </row>
    <row r="508" ht="15.75" customHeight="1">
      <c r="A508" s="86"/>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c r="Z508" s="86"/>
    </row>
    <row r="509" ht="15.75" customHeight="1">
      <c r="A509" s="86"/>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c r="Z509" s="86"/>
    </row>
    <row r="510" ht="15.75" customHeight="1">
      <c r="A510" s="86"/>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c r="Z510" s="86"/>
    </row>
    <row r="511" ht="15.75" customHeight="1">
      <c r="A511" s="86"/>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c r="Z511" s="86"/>
    </row>
    <row r="512" ht="15.75" customHeight="1">
      <c r="A512" s="86"/>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c r="Z512" s="86"/>
    </row>
    <row r="513" ht="15.75" customHeight="1">
      <c r="A513" s="86"/>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c r="Z513" s="86"/>
    </row>
    <row r="514" ht="15.75" customHeight="1">
      <c r="A514" s="86"/>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c r="Z514" s="86"/>
    </row>
    <row r="515" ht="15.75" customHeight="1">
      <c r="A515" s="86"/>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c r="Z515" s="86"/>
    </row>
    <row r="516" ht="15.75" customHeight="1">
      <c r="A516" s="86"/>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c r="Z516" s="86"/>
    </row>
    <row r="517" ht="15.75" customHeight="1">
      <c r="A517" s="86"/>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c r="Z517" s="86"/>
    </row>
    <row r="518" ht="15.75" customHeight="1">
      <c r="A518" s="86"/>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c r="Z518" s="86"/>
    </row>
    <row r="519" ht="15.75" customHeight="1">
      <c r="A519" s="86"/>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c r="Z519" s="86"/>
    </row>
    <row r="520" ht="15.75" customHeight="1">
      <c r="A520" s="86"/>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c r="Z520" s="86"/>
    </row>
    <row r="521" ht="15.75" customHeight="1">
      <c r="A521" s="86"/>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c r="Z521" s="86"/>
    </row>
    <row r="522" ht="15.75" customHeight="1">
      <c r="A522" s="86"/>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c r="Z522" s="86"/>
    </row>
    <row r="523" ht="15.75" customHeight="1">
      <c r="A523" s="86"/>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c r="Z523" s="86"/>
    </row>
    <row r="524" ht="15.75" customHeight="1">
      <c r="A524" s="86"/>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c r="Z524" s="86"/>
    </row>
    <row r="525" ht="15.75" customHeight="1">
      <c r="A525" s="86"/>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c r="Z525" s="86"/>
    </row>
    <row r="526" ht="15.75" customHeight="1">
      <c r="A526" s="86"/>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c r="Z526" s="86"/>
    </row>
    <row r="527" ht="15.75" customHeight="1">
      <c r="A527" s="86"/>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c r="Z527" s="86"/>
    </row>
    <row r="528" ht="15.75" customHeight="1">
      <c r="A528" s="86"/>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c r="Z528" s="86"/>
    </row>
    <row r="529" ht="15.75" customHeight="1">
      <c r="A529" s="86"/>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c r="Z529" s="86"/>
    </row>
    <row r="530" ht="15.75" customHeight="1">
      <c r="A530" s="86"/>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c r="Z530" s="86"/>
    </row>
    <row r="531" ht="15.75" customHeight="1">
      <c r="A531" s="86"/>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c r="Z531" s="86"/>
    </row>
    <row r="532" ht="15.75" customHeight="1">
      <c r="A532" s="86"/>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c r="Z532" s="86"/>
    </row>
    <row r="533" ht="15.75" customHeight="1">
      <c r="A533" s="86"/>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row>
    <row r="534" ht="15.75" customHeight="1">
      <c r="A534" s="86"/>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row>
    <row r="535" ht="15.75" customHeight="1">
      <c r="A535" s="86"/>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c r="Z535" s="86"/>
    </row>
    <row r="536" ht="15.75" customHeight="1">
      <c r="A536" s="86"/>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c r="Z536" s="86"/>
    </row>
    <row r="537" ht="15.75" customHeight="1">
      <c r="A537" s="86"/>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c r="Z537" s="86"/>
    </row>
    <row r="538" ht="15.75" customHeight="1">
      <c r="A538" s="86"/>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c r="Z538" s="86"/>
    </row>
    <row r="539" ht="15.75" customHeight="1">
      <c r="A539" s="86"/>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c r="Z539" s="86"/>
    </row>
    <row r="540" ht="15.75" customHeight="1">
      <c r="A540" s="86"/>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c r="Z540" s="86"/>
    </row>
    <row r="541" ht="15.75" customHeight="1">
      <c r="A541" s="86"/>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c r="Z541" s="86"/>
    </row>
    <row r="542" ht="15.75" customHeight="1">
      <c r="A542" s="86"/>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c r="Z542" s="86"/>
    </row>
    <row r="543" ht="15.75" customHeight="1">
      <c r="A543" s="86"/>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c r="Z543" s="86"/>
    </row>
    <row r="544" ht="15.75" customHeight="1">
      <c r="A544" s="86"/>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c r="Z544" s="86"/>
    </row>
    <row r="545" ht="15.75" customHeight="1">
      <c r="A545" s="86"/>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c r="Z545" s="86"/>
    </row>
    <row r="546" ht="15.75" customHeight="1">
      <c r="A546" s="86"/>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c r="Z546" s="86"/>
    </row>
    <row r="547" ht="15.75" customHeight="1">
      <c r="A547" s="86"/>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c r="Z547" s="86"/>
    </row>
    <row r="548" ht="15.75" customHeight="1">
      <c r="A548" s="86"/>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c r="Z548" s="86"/>
    </row>
    <row r="549" ht="15.75" customHeight="1">
      <c r="A549" s="86"/>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c r="Z549" s="86"/>
    </row>
    <row r="550" ht="15.75" customHeight="1">
      <c r="A550" s="86"/>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c r="Z550" s="86"/>
    </row>
    <row r="551" ht="15.75" customHeight="1">
      <c r="A551" s="86"/>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c r="Z551" s="86"/>
    </row>
    <row r="552" ht="15.75" customHeight="1">
      <c r="A552" s="86"/>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c r="Z552" s="86"/>
    </row>
    <row r="553" ht="15.75" customHeight="1">
      <c r="A553" s="86"/>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c r="Z553" s="86"/>
    </row>
    <row r="554" ht="15.75" customHeight="1">
      <c r="A554" s="86"/>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c r="Z554" s="86"/>
    </row>
    <row r="555" ht="15.75" customHeight="1">
      <c r="A555" s="86"/>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c r="Z555" s="86"/>
    </row>
    <row r="556" ht="15.75" customHeight="1">
      <c r="A556" s="86"/>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c r="Z556" s="86"/>
    </row>
    <row r="557" ht="15.75" customHeight="1">
      <c r="A557" s="86"/>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c r="Z557" s="86"/>
    </row>
    <row r="558" ht="15.75" customHeight="1">
      <c r="A558" s="86"/>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c r="Z558" s="86"/>
    </row>
    <row r="559" ht="15.75" customHeight="1">
      <c r="A559" s="86"/>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c r="Z559" s="86"/>
    </row>
    <row r="560" ht="15.75" customHeight="1">
      <c r="A560" s="86"/>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c r="Z560" s="86"/>
    </row>
    <row r="561" ht="15.75" customHeight="1">
      <c r="A561" s="86"/>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c r="Z561" s="86"/>
    </row>
    <row r="562" ht="15.75" customHeight="1">
      <c r="A562" s="86"/>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c r="Z562" s="86"/>
    </row>
    <row r="563" ht="15.75" customHeight="1">
      <c r="A563" s="86"/>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c r="Z563" s="86"/>
    </row>
    <row r="564" ht="15.75" customHeight="1">
      <c r="A564" s="86"/>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c r="Z564" s="86"/>
    </row>
    <row r="565" ht="15.75" customHeight="1">
      <c r="A565" s="86"/>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c r="Z565" s="86"/>
    </row>
    <row r="566" ht="15.75" customHeight="1">
      <c r="A566" s="86"/>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c r="Z566" s="86"/>
    </row>
    <row r="567" ht="15.75" customHeight="1">
      <c r="A567" s="86"/>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c r="Z567" s="86"/>
    </row>
    <row r="568" ht="15.75" customHeight="1">
      <c r="A568" s="86"/>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c r="Z568" s="86"/>
    </row>
    <row r="569" ht="15.75" customHeight="1">
      <c r="A569" s="86"/>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c r="Z569" s="86"/>
    </row>
    <row r="570" ht="15.75" customHeight="1">
      <c r="A570" s="86"/>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c r="Z570" s="86"/>
    </row>
    <row r="571" ht="15.75" customHeight="1">
      <c r="A571" s="86"/>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c r="Z571" s="86"/>
    </row>
    <row r="572" ht="15.75" customHeight="1">
      <c r="A572" s="86"/>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c r="Z572" s="86"/>
    </row>
    <row r="573" ht="15.75" customHeight="1">
      <c r="A573" s="86"/>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c r="Z573" s="86"/>
    </row>
    <row r="574" ht="15.75" customHeight="1">
      <c r="A574" s="86"/>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c r="Z574" s="86"/>
    </row>
    <row r="575" ht="15.75" customHeight="1">
      <c r="A575" s="86"/>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c r="Z575" s="86"/>
    </row>
    <row r="576" ht="15.75" customHeight="1">
      <c r="A576" s="86"/>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c r="Z576" s="86"/>
    </row>
    <row r="577" ht="15.75" customHeight="1">
      <c r="A577" s="86"/>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c r="Z577" s="86"/>
    </row>
    <row r="578" ht="15.75" customHeight="1">
      <c r="A578" s="86"/>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c r="Z578" s="86"/>
    </row>
    <row r="579" ht="15.75" customHeight="1">
      <c r="A579" s="86"/>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c r="Z579" s="86"/>
    </row>
    <row r="580" ht="15.75" customHeight="1">
      <c r="A580" s="86"/>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c r="Z580" s="86"/>
    </row>
    <row r="581" ht="15.75" customHeight="1">
      <c r="A581" s="86"/>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c r="Z581" s="86"/>
    </row>
    <row r="582" ht="15.75" customHeight="1">
      <c r="A582" s="86"/>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c r="Z582" s="86"/>
    </row>
    <row r="583" ht="15.75" customHeight="1">
      <c r="A583" s="86"/>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c r="Z583" s="86"/>
    </row>
    <row r="584" ht="15.75" customHeight="1">
      <c r="A584" s="86"/>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c r="Z584" s="86"/>
    </row>
    <row r="585" ht="15.75" customHeight="1">
      <c r="A585" s="86"/>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c r="Z585" s="86"/>
    </row>
    <row r="586" ht="15.75" customHeight="1">
      <c r="A586" s="86"/>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c r="Z586" s="86"/>
    </row>
    <row r="587" ht="15.75" customHeight="1">
      <c r="A587" s="86"/>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c r="Z587" s="86"/>
    </row>
    <row r="588" ht="15.75" customHeight="1">
      <c r="A588" s="86"/>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c r="Z588" s="86"/>
    </row>
    <row r="589" ht="15.75" customHeight="1">
      <c r="A589" s="86"/>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c r="Z589" s="86"/>
    </row>
    <row r="590" ht="15.75" customHeight="1">
      <c r="A590" s="86"/>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c r="Z590" s="86"/>
    </row>
    <row r="591" ht="15.75" customHeight="1">
      <c r="A591" s="86"/>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c r="Z591" s="86"/>
    </row>
    <row r="592" ht="15.75" customHeight="1">
      <c r="A592" s="86"/>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c r="Z592" s="86"/>
    </row>
    <row r="593" ht="15.75" customHeight="1">
      <c r="A593" s="86"/>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c r="Z593" s="86"/>
    </row>
    <row r="594" ht="15.75" customHeight="1">
      <c r="A594" s="86"/>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c r="Z594" s="86"/>
    </row>
    <row r="595" ht="15.75" customHeight="1">
      <c r="A595" s="86"/>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c r="Z595" s="86"/>
    </row>
    <row r="596" ht="15.75" customHeight="1">
      <c r="A596" s="86"/>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c r="Z596" s="86"/>
    </row>
    <row r="597" ht="15.75" customHeight="1">
      <c r="A597" s="86"/>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c r="Z597" s="86"/>
    </row>
    <row r="598" ht="15.75" customHeight="1">
      <c r="A598" s="86"/>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c r="Z598" s="86"/>
    </row>
    <row r="599" ht="15.75" customHeight="1">
      <c r="A599" s="86"/>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c r="Z599" s="86"/>
    </row>
    <row r="600" ht="15.75" customHeight="1">
      <c r="A600" s="86"/>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c r="Z600" s="86"/>
    </row>
    <row r="601" ht="15.75" customHeight="1">
      <c r="A601" s="86"/>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c r="Z601" s="86"/>
    </row>
    <row r="602" ht="15.75" customHeight="1">
      <c r="A602" s="86"/>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c r="Z602" s="86"/>
    </row>
    <row r="603" ht="15.75" customHeight="1">
      <c r="A603" s="86"/>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c r="Z603" s="86"/>
    </row>
    <row r="604" ht="15.75" customHeight="1">
      <c r="A604" s="86"/>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c r="Z604" s="86"/>
    </row>
    <row r="605" ht="15.75" customHeight="1">
      <c r="A605" s="86"/>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c r="Z605" s="86"/>
    </row>
    <row r="606" ht="15.75" customHeight="1">
      <c r="A606" s="86"/>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c r="Z606" s="86"/>
    </row>
    <row r="607" ht="15.75" customHeight="1">
      <c r="A607" s="86"/>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c r="Z607" s="86"/>
    </row>
    <row r="608" ht="15.75" customHeight="1">
      <c r="A608" s="86"/>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c r="Z608" s="86"/>
    </row>
    <row r="609" ht="15.75" customHeight="1">
      <c r="A609" s="86"/>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c r="Z609" s="86"/>
    </row>
    <row r="610" ht="15.75" customHeight="1">
      <c r="A610" s="86"/>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c r="Z610" s="86"/>
    </row>
    <row r="611" ht="15.75" customHeight="1">
      <c r="A611" s="86"/>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c r="Z611" s="86"/>
    </row>
    <row r="612" ht="15.75" customHeight="1">
      <c r="A612" s="86"/>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c r="Z612" s="86"/>
    </row>
    <row r="613" ht="15.75" customHeight="1">
      <c r="A613" s="86"/>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c r="Z613" s="86"/>
    </row>
    <row r="614" ht="15.75" customHeight="1">
      <c r="A614" s="86"/>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c r="Z614" s="86"/>
    </row>
    <row r="615" ht="15.75" customHeight="1">
      <c r="A615" s="86"/>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c r="Z615" s="86"/>
    </row>
    <row r="616" ht="15.75" customHeight="1">
      <c r="A616" s="86"/>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c r="Z616" s="86"/>
    </row>
    <row r="617" ht="15.75" customHeight="1">
      <c r="A617" s="86"/>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c r="Z617" s="86"/>
    </row>
    <row r="618" ht="15.75" customHeight="1">
      <c r="A618" s="86"/>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c r="Z618" s="86"/>
    </row>
    <row r="619" ht="15.75" customHeight="1">
      <c r="A619" s="86"/>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c r="Z619" s="86"/>
    </row>
    <row r="620" ht="15.75" customHeight="1">
      <c r="A620" s="86"/>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c r="Z620" s="86"/>
    </row>
    <row r="621" ht="15.75" customHeight="1">
      <c r="A621" s="86"/>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c r="Z621" s="86"/>
    </row>
    <row r="622" ht="15.75" customHeight="1">
      <c r="A622" s="86"/>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c r="Z622" s="86"/>
    </row>
    <row r="623" ht="15.75" customHeight="1">
      <c r="A623" s="86"/>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c r="Z623" s="86"/>
    </row>
    <row r="624" ht="15.75" customHeight="1">
      <c r="A624" s="86"/>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c r="Z624" s="86"/>
    </row>
    <row r="625" ht="15.75" customHeight="1">
      <c r="A625" s="86"/>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c r="Z625" s="86"/>
    </row>
    <row r="626" ht="15.75" customHeight="1">
      <c r="A626" s="86"/>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c r="Z626" s="86"/>
    </row>
    <row r="627" ht="15.75" customHeight="1">
      <c r="A627" s="86"/>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c r="Z627" s="86"/>
    </row>
    <row r="628" ht="15.75" customHeight="1">
      <c r="A628" s="86"/>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c r="Z628" s="86"/>
    </row>
    <row r="629" ht="15.75" customHeight="1">
      <c r="A629" s="86"/>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c r="Z629" s="86"/>
    </row>
    <row r="630" ht="15.75" customHeight="1">
      <c r="A630" s="86"/>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c r="Z630" s="86"/>
    </row>
    <row r="631" ht="15.75" customHeight="1">
      <c r="A631" s="86"/>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c r="Z631" s="86"/>
    </row>
    <row r="632" ht="15.75" customHeight="1">
      <c r="A632" s="86"/>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c r="Z632" s="86"/>
    </row>
    <row r="633" ht="15.75" customHeight="1">
      <c r="A633" s="86"/>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c r="Z633" s="86"/>
    </row>
    <row r="634" ht="15.75" customHeight="1">
      <c r="A634" s="86"/>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c r="Z634" s="86"/>
    </row>
    <row r="635" ht="15.75" customHeight="1">
      <c r="A635" s="86"/>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c r="Z635" s="86"/>
    </row>
    <row r="636" ht="15.75" customHeight="1">
      <c r="A636" s="86"/>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c r="Z636" s="86"/>
    </row>
    <row r="637" ht="15.75" customHeight="1">
      <c r="A637" s="86"/>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c r="Z637" s="86"/>
    </row>
    <row r="638" ht="15.75" customHeight="1">
      <c r="A638" s="86"/>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c r="Z638" s="86"/>
    </row>
    <row r="639" ht="15.75" customHeight="1">
      <c r="A639" s="86"/>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c r="Z639" s="86"/>
    </row>
    <row r="640" ht="15.75" customHeight="1">
      <c r="A640" s="86"/>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c r="Z640" s="86"/>
    </row>
    <row r="641" ht="15.75" customHeight="1">
      <c r="A641" s="86"/>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c r="Z641" s="86"/>
    </row>
    <row r="642" ht="15.75" customHeight="1">
      <c r="A642" s="86"/>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c r="Z642" s="86"/>
    </row>
    <row r="643" ht="15.75" customHeight="1">
      <c r="A643" s="86"/>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c r="Z643" s="86"/>
    </row>
    <row r="644" ht="15.75" customHeight="1">
      <c r="A644" s="86"/>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c r="Z644" s="86"/>
    </row>
    <row r="645" ht="15.75" customHeight="1">
      <c r="A645" s="86"/>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c r="Z645" s="86"/>
    </row>
    <row r="646" ht="15.75" customHeight="1">
      <c r="A646" s="86"/>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c r="Z646" s="86"/>
    </row>
    <row r="647" ht="15.75" customHeight="1">
      <c r="A647" s="86"/>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c r="Z647" s="86"/>
    </row>
    <row r="648" ht="15.75" customHeight="1">
      <c r="A648" s="86"/>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c r="Z648" s="86"/>
    </row>
    <row r="649" ht="15.75" customHeight="1">
      <c r="A649" s="86"/>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c r="Z649" s="86"/>
    </row>
    <row r="650" ht="15.75" customHeight="1">
      <c r="A650" s="86"/>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c r="Z650" s="86"/>
    </row>
    <row r="651" ht="15.75" customHeight="1">
      <c r="A651" s="86"/>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c r="Z651" s="86"/>
    </row>
    <row r="652" ht="15.75" customHeight="1">
      <c r="A652" s="86"/>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c r="Z652" s="86"/>
    </row>
    <row r="653" ht="15.75" customHeight="1">
      <c r="A653" s="86"/>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c r="Z653" s="86"/>
    </row>
    <row r="654" ht="15.75" customHeight="1">
      <c r="A654" s="86"/>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c r="Z654" s="86"/>
    </row>
    <row r="655" ht="15.75" customHeight="1">
      <c r="A655" s="86"/>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c r="Z655" s="86"/>
    </row>
    <row r="656" ht="15.75" customHeight="1">
      <c r="A656" s="86"/>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c r="Z656" s="86"/>
    </row>
    <row r="657" ht="15.75" customHeight="1">
      <c r="A657" s="86"/>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c r="Z657" s="86"/>
    </row>
    <row r="658" ht="15.75" customHeight="1">
      <c r="A658" s="86"/>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c r="Z658" s="86"/>
    </row>
    <row r="659" ht="15.75" customHeight="1">
      <c r="A659" s="86"/>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c r="Z659" s="86"/>
    </row>
    <row r="660" ht="15.75" customHeight="1">
      <c r="A660" s="86"/>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c r="Z660" s="86"/>
    </row>
    <row r="661" ht="15.75" customHeight="1">
      <c r="A661" s="86"/>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c r="Z661" s="86"/>
    </row>
    <row r="662" ht="15.75" customHeight="1">
      <c r="A662" s="86"/>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c r="Z662" s="86"/>
    </row>
    <row r="663" ht="15.75" customHeight="1">
      <c r="A663" s="86"/>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c r="Z663" s="86"/>
    </row>
    <row r="664" ht="15.75" customHeight="1">
      <c r="A664" s="86"/>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c r="Z664" s="86"/>
    </row>
    <row r="665" ht="15.75" customHeight="1">
      <c r="A665" s="86"/>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c r="Z665" s="86"/>
    </row>
    <row r="666" ht="15.75" customHeight="1">
      <c r="A666" s="86"/>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c r="Z666" s="86"/>
    </row>
    <row r="667" ht="15.75" customHeight="1">
      <c r="A667" s="86"/>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c r="Z667" s="86"/>
    </row>
    <row r="668" ht="15.75" customHeight="1">
      <c r="A668" s="86"/>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c r="Z668" s="86"/>
    </row>
    <row r="669" ht="15.75" customHeight="1">
      <c r="A669" s="86"/>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c r="Z669" s="86"/>
    </row>
    <row r="670" ht="15.75" customHeight="1">
      <c r="A670" s="86"/>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c r="Z670" s="86"/>
    </row>
    <row r="671" ht="15.75" customHeight="1">
      <c r="A671" s="86"/>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c r="Z671" s="86"/>
    </row>
    <row r="672" ht="15.75" customHeight="1">
      <c r="A672" s="86"/>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c r="Z672" s="86"/>
    </row>
    <row r="673" ht="15.75" customHeight="1">
      <c r="A673" s="86"/>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c r="Z673" s="86"/>
    </row>
    <row r="674" ht="15.75" customHeight="1">
      <c r="A674" s="86"/>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c r="Z674" s="86"/>
    </row>
    <row r="675" ht="15.75" customHeight="1">
      <c r="A675" s="86"/>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c r="Z675" s="86"/>
    </row>
    <row r="676" ht="15.75" customHeight="1">
      <c r="A676" s="86"/>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c r="Z676" s="86"/>
    </row>
    <row r="677" ht="15.75" customHeight="1">
      <c r="A677" s="86"/>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c r="Z677" s="86"/>
    </row>
    <row r="678" ht="15.75" customHeight="1">
      <c r="A678" s="86"/>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c r="Z678" s="86"/>
    </row>
    <row r="679" ht="15.75" customHeight="1">
      <c r="A679" s="86"/>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c r="Z679" s="86"/>
    </row>
    <row r="680" ht="15.75" customHeight="1">
      <c r="A680" s="86"/>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c r="Z680" s="86"/>
    </row>
    <row r="681" ht="15.75" customHeight="1">
      <c r="A681" s="86"/>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c r="Z681" s="86"/>
    </row>
    <row r="682" ht="15.75" customHeight="1">
      <c r="A682" s="86"/>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c r="Z682" s="86"/>
    </row>
    <row r="683" ht="15.75" customHeight="1">
      <c r="A683" s="86"/>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c r="Z683" s="86"/>
    </row>
    <row r="684" ht="15.75" customHeight="1">
      <c r="A684" s="86"/>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c r="Z684" s="86"/>
    </row>
    <row r="685" ht="15.75" customHeight="1">
      <c r="A685" s="86"/>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c r="Z685" s="86"/>
    </row>
    <row r="686" ht="15.75" customHeight="1">
      <c r="A686" s="86"/>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c r="Z686" s="86"/>
    </row>
    <row r="687" ht="15.75" customHeight="1">
      <c r="A687" s="86"/>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c r="Z687" s="86"/>
    </row>
    <row r="688" ht="15.75" customHeight="1">
      <c r="A688" s="86"/>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c r="Z688" s="86"/>
    </row>
    <row r="689" ht="15.75" customHeight="1">
      <c r="A689" s="86"/>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c r="Z689" s="86"/>
    </row>
    <row r="690" ht="15.75" customHeight="1">
      <c r="A690" s="86"/>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c r="Z690" s="86"/>
    </row>
    <row r="691" ht="15.75" customHeight="1">
      <c r="A691" s="86"/>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c r="Z691" s="86"/>
    </row>
    <row r="692" ht="15.75" customHeight="1">
      <c r="A692" s="86"/>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c r="Z692" s="86"/>
    </row>
    <row r="693" ht="15.75" customHeight="1">
      <c r="A693" s="86"/>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c r="Z693" s="86"/>
    </row>
    <row r="694" ht="15.75" customHeight="1">
      <c r="A694" s="86"/>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c r="Z694" s="86"/>
    </row>
    <row r="695" ht="15.75" customHeight="1">
      <c r="A695" s="86"/>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c r="Z695" s="86"/>
    </row>
    <row r="696" ht="15.75" customHeight="1">
      <c r="A696" s="86"/>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c r="Z696" s="86"/>
    </row>
    <row r="697" ht="15.75" customHeight="1">
      <c r="A697" s="86"/>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c r="Z697" s="86"/>
    </row>
    <row r="698" ht="15.75" customHeight="1">
      <c r="A698" s="86"/>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c r="Z698" s="86"/>
    </row>
    <row r="699" ht="15.75" customHeight="1">
      <c r="A699" s="86"/>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c r="Z699" s="86"/>
    </row>
    <row r="700" ht="15.75" customHeight="1">
      <c r="A700" s="86"/>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c r="Z700" s="86"/>
    </row>
    <row r="701" ht="15.75" customHeight="1">
      <c r="A701" s="86"/>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c r="Z701" s="86"/>
    </row>
    <row r="702" ht="15.75" customHeight="1">
      <c r="A702" s="86"/>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c r="Z702" s="86"/>
    </row>
    <row r="703" ht="15.75" customHeight="1">
      <c r="A703" s="86"/>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c r="Z703" s="86"/>
    </row>
    <row r="704" ht="15.75" customHeight="1">
      <c r="A704" s="86"/>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c r="Z704" s="86"/>
    </row>
    <row r="705" ht="15.75" customHeight="1">
      <c r="A705" s="86"/>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c r="Z705" s="86"/>
    </row>
    <row r="706" ht="15.75" customHeight="1">
      <c r="A706" s="86"/>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c r="Z706" s="86"/>
    </row>
    <row r="707" ht="15.75" customHeight="1">
      <c r="A707" s="86"/>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c r="Z707" s="86"/>
    </row>
    <row r="708" ht="15.75" customHeight="1">
      <c r="A708" s="86"/>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c r="Z708" s="86"/>
    </row>
    <row r="709" ht="15.75" customHeight="1">
      <c r="A709" s="86"/>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c r="Z709" s="86"/>
    </row>
    <row r="710" ht="15.75" customHeight="1">
      <c r="A710" s="86"/>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c r="Z710" s="86"/>
    </row>
    <row r="711" ht="15.75" customHeight="1">
      <c r="A711" s="86"/>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c r="Z711" s="86"/>
    </row>
    <row r="712" ht="15.75" customHeight="1">
      <c r="A712" s="86"/>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c r="Z712" s="86"/>
    </row>
    <row r="713" ht="15.75" customHeight="1">
      <c r="A713" s="86"/>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c r="Z713" s="86"/>
    </row>
    <row r="714" ht="15.75" customHeight="1">
      <c r="A714" s="86"/>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c r="Z714" s="86"/>
    </row>
    <row r="715" ht="15.75"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c r="Z715" s="86"/>
    </row>
    <row r="716" ht="15.75" customHeight="1">
      <c r="A716" s="86"/>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c r="Z716" s="86"/>
    </row>
    <row r="717" ht="15.75" customHeight="1">
      <c r="A717" s="86"/>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c r="Z717" s="86"/>
    </row>
    <row r="718" ht="15.75" customHeight="1">
      <c r="A718" s="86"/>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c r="Z718" s="86"/>
    </row>
    <row r="719" ht="15.75" customHeight="1">
      <c r="A719" s="86"/>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c r="Z719" s="86"/>
    </row>
    <row r="720" ht="15.75" customHeight="1">
      <c r="A720" s="86"/>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c r="Z720" s="86"/>
    </row>
    <row r="721" ht="15.75" customHeight="1">
      <c r="A721" s="86"/>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c r="Z721" s="86"/>
    </row>
    <row r="722" ht="15.75" customHeight="1">
      <c r="A722" s="86"/>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c r="Z722" s="86"/>
    </row>
    <row r="723" ht="15.75" customHeight="1">
      <c r="A723" s="86"/>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c r="Z723" s="86"/>
    </row>
    <row r="724" ht="15.75" customHeight="1">
      <c r="A724" s="86"/>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c r="Z724" s="86"/>
    </row>
    <row r="725" ht="15.75" customHeight="1">
      <c r="A725" s="86"/>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c r="Z725" s="86"/>
    </row>
    <row r="726" ht="15.75" customHeight="1">
      <c r="A726" s="86"/>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c r="Z726" s="86"/>
    </row>
    <row r="727" ht="15.75" customHeight="1">
      <c r="A727" s="86"/>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c r="Z727" s="86"/>
    </row>
    <row r="728" ht="15.75" customHeight="1">
      <c r="A728" s="86"/>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c r="Z728" s="86"/>
    </row>
    <row r="729" ht="15.75" customHeight="1">
      <c r="A729" s="86"/>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c r="Z729" s="86"/>
    </row>
    <row r="730" ht="15.75" customHeight="1">
      <c r="A730" s="86"/>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c r="Z730" s="86"/>
    </row>
    <row r="731" ht="15.75" customHeight="1">
      <c r="A731" s="86"/>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c r="Z731" s="86"/>
    </row>
    <row r="732" ht="15.75" customHeight="1">
      <c r="A732" s="86"/>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c r="Z732" s="86"/>
    </row>
    <row r="733" ht="15.75" customHeight="1">
      <c r="A733" s="86"/>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c r="Z733" s="86"/>
    </row>
    <row r="734" ht="15.75" customHeight="1">
      <c r="A734" s="86"/>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c r="Z734" s="86"/>
    </row>
    <row r="735" ht="15.75" customHeight="1">
      <c r="A735" s="86"/>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c r="Z735" s="86"/>
    </row>
    <row r="736" ht="15.75" customHeight="1">
      <c r="A736" s="86"/>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c r="Z736" s="86"/>
    </row>
    <row r="737" ht="15.75" customHeight="1">
      <c r="A737" s="86"/>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c r="Z737" s="86"/>
    </row>
    <row r="738" ht="15.75" customHeight="1">
      <c r="A738" s="86"/>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c r="Z738" s="86"/>
    </row>
    <row r="739" ht="15.75" customHeight="1">
      <c r="A739" s="86"/>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c r="Z739" s="86"/>
    </row>
    <row r="740" ht="15.75" customHeight="1">
      <c r="A740" s="86"/>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c r="Z740" s="86"/>
    </row>
    <row r="741" ht="15.75" customHeight="1">
      <c r="A741" s="86"/>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c r="Z741" s="86"/>
    </row>
    <row r="742" ht="15.75" customHeight="1">
      <c r="A742" s="86"/>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c r="Z742" s="86"/>
    </row>
    <row r="743" ht="15.75" customHeight="1">
      <c r="A743" s="86"/>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c r="Z743" s="86"/>
    </row>
    <row r="744" ht="15.75" customHeight="1">
      <c r="A744" s="86"/>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c r="Z744" s="86"/>
    </row>
    <row r="745" ht="15.75" customHeight="1">
      <c r="A745" s="86"/>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c r="Z745" s="86"/>
    </row>
    <row r="746" ht="15.75" customHeight="1">
      <c r="A746" s="86"/>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c r="Z746" s="86"/>
    </row>
    <row r="747" ht="15.75" customHeight="1">
      <c r="A747" s="86"/>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c r="Z747" s="86"/>
    </row>
    <row r="748" ht="15.75" customHeight="1">
      <c r="A748" s="86"/>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c r="Z748" s="86"/>
    </row>
    <row r="749" ht="15.75" customHeight="1">
      <c r="A749" s="86"/>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c r="Z749" s="86"/>
    </row>
    <row r="750" ht="15.75" customHeight="1">
      <c r="A750" s="86"/>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c r="Z750" s="86"/>
    </row>
    <row r="751" ht="15.75" customHeight="1">
      <c r="A751" s="86"/>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c r="Z751" s="86"/>
    </row>
    <row r="752" ht="15.75" customHeight="1">
      <c r="A752" s="86"/>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c r="Z752" s="86"/>
    </row>
    <row r="753" ht="15.75" customHeight="1">
      <c r="A753" s="86"/>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c r="Z753" s="86"/>
    </row>
    <row r="754" ht="15.75" customHeight="1">
      <c r="A754" s="86"/>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c r="Z754" s="86"/>
    </row>
    <row r="755" ht="15.75" customHeight="1">
      <c r="A755" s="86"/>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c r="Z755" s="86"/>
    </row>
    <row r="756" ht="15.75" customHeight="1">
      <c r="A756" s="86"/>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c r="Z756" s="86"/>
    </row>
    <row r="757" ht="15.75" customHeight="1">
      <c r="A757" s="86"/>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c r="Z757" s="86"/>
    </row>
    <row r="758" ht="15.75" customHeight="1">
      <c r="A758" s="86"/>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c r="Z758" s="86"/>
    </row>
    <row r="759" ht="15.75" customHeight="1">
      <c r="A759" s="86"/>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c r="Z759" s="86"/>
    </row>
    <row r="760" ht="15.75" customHeight="1">
      <c r="A760" s="86"/>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c r="Z760" s="86"/>
    </row>
    <row r="761" ht="15.75" customHeight="1">
      <c r="A761" s="86"/>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c r="Z761" s="86"/>
    </row>
    <row r="762" ht="15.75" customHeight="1">
      <c r="A762" s="86"/>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c r="Z762" s="86"/>
    </row>
    <row r="763" ht="15.75" customHeight="1">
      <c r="A763" s="86"/>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c r="Z763" s="86"/>
    </row>
    <row r="764" ht="15.75" customHeight="1">
      <c r="A764" s="86"/>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c r="Z764" s="86"/>
    </row>
    <row r="765" ht="15.75" customHeight="1">
      <c r="A765" s="86"/>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c r="Z765" s="86"/>
    </row>
    <row r="766" ht="15.75" customHeight="1">
      <c r="A766" s="86"/>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c r="Z766" s="86"/>
    </row>
    <row r="767" ht="15.75" customHeight="1">
      <c r="A767" s="86"/>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c r="Z767" s="86"/>
    </row>
    <row r="768" ht="15.75" customHeight="1">
      <c r="A768" s="86"/>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c r="Z768" s="86"/>
    </row>
    <row r="769" ht="15.75" customHeight="1">
      <c r="A769" s="86"/>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c r="Z769" s="86"/>
    </row>
    <row r="770" ht="15.75" customHeight="1">
      <c r="A770" s="86"/>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c r="Z770" s="86"/>
    </row>
    <row r="771" ht="15.75" customHeight="1">
      <c r="A771" s="86"/>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c r="Z771" s="86"/>
    </row>
    <row r="772" ht="15.75" customHeight="1">
      <c r="A772" s="86"/>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c r="Z772" s="86"/>
    </row>
    <row r="773" ht="15.75" customHeight="1">
      <c r="A773" s="86"/>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c r="Z773" s="86"/>
    </row>
    <row r="774" ht="15.75" customHeight="1">
      <c r="A774" s="86"/>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c r="Z774" s="86"/>
    </row>
    <row r="775" ht="15.75" customHeight="1">
      <c r="A775" s="86"/>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c r="Z775" s="86"/>
    </row>
    <row r="776" ht="15.75" customHeight="1">
      <c r="A776" s="86"/>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c r="Z776" s="86"/>
    </row>
    <row r="777" ht="15.75" customHeight="1">
      <c r="A777" s="86"/>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c r="Z777" s="86"/>
    </row>
    <row r="778" ht="15.75" customHeight="1">
      <c r="A778" s="86"/>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c r="Z778" s="86"/>
    </row>
    <row r="779" ht="15.75" customHeight="1">
      <c r="A779" s="86"/>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c r="Z779" s="86"/>
    </row>
    <row r="780" ht="15.75" customHeight="1">
      <c r="A780" s="86"/>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c r="Z780" s="86"/>
    </row>
    <row r="781" ht="15.75" customHeight="1">
      <c r="A781" s="86"/>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c r="Z781" s="86"/>
    </row>
    <row r="782" ht="15.75" customHeight="1">
      <c r="A782" s="86"/>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c r="Z782" s="86"/>
    </row>
    <row r="783" ht="15.75" customHeight="1">
      <c r="A783" s="86"/>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c r="Z783" s="86"/>
    </row>
    <row r="784" ht="15.75" customHeight="1">
      <c r="A784" s="86"/>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c r="Z784" s="86"/>
    </row>
    <row r="785" ht="15.75" customHeight="1">
      <c r="A785" s="86"/>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c r="Z785" s="86"/>
    </row>
    <row r="786" ht="15.75" customHeight="1">
      <c r="A786" s="86"/>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c r="Z786" s="86"/>
    </row>
    <row r="787" ht="15.75" customHeight="1">
      <c r="A787" s="86"/>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c r="Z787" s="86"/>
    </row>
    <row r="788" ht="15.75" customHeight="1">
      <c r="A788" s="86"/>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c r="Z788" s="86"/>
    </row>
    <row r="789" ht="15.75" customHeight="1">
      <c r="A789" s="86"/>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c r="Z789" s="86"/>
    </row>
    <row r="790" ht="15.75" customHeight="1">
      <c r="A790" s="86"/>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c r="Z790" s="86"/>
    </row>
    <row r="791" ht="15.75" customHeight="1">
      <c r="A791" s="86"/>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c r="Z791" s="86"/>
    </row>
    <row r="792" ht="15.75" customHeight="1">
      <c r="A792" s="86"/>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c r="Z792" s="86"/>
    </row>
    <row r="793" ht="15.75" customHeight="1">
      <c r="A793" s="86"/>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c r="Z793" s="86"/>
    </row>
    <row r="794" ht="15.75" customHeight="1">
      <c r="A794" s="86"/>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c r="Z794" s="86"/>
    </row>
    <row r="795" ht="15.75" customHeight="1">
      <c r="A795" s="86"/>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c r="Z795" s="86"/>
    </row>
    <row r="796" ht="15.75" customHeight="1">
      <c r="A796" s="86"/>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c r="Z796" s="86"/>
    </row>
    <row r="797" ht="15.75" customHeight="1">
      <c r="A797" s="86"/>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c r="Z797" s="86"/>
    </row>
    <row r="798" ht="15.75" customHeight="1">
      <c r="A798" s="86"/>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c r="Z798" s="86"/>
    </row>
    <row r="799" ht="15.75" customHeight="1">
      <c r="A799" s="86"/>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c r="Z799" s="86"/>
    </row>
    <row r="800" ht="15.75" customHeight="1">
      <c r="A800" s="86"/>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c r="Z800" s="86"/>
    </row>
    <row r="801" ht="15.75" customHeight="1">
      <c r="A801" s="86"/>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c r="Z801" s="86"/>
    </row>
    <row r="802" ht="15.75" customHeight="1">
      <c r="A802" s="86"/>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c r="Z802" s="86"/>
    </row>
    <row r="803" ht="15.75" customHeight="1">
      <c r="A803" s="86"/>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c r="Z803" s="86"/>
    </row>
    <row r="804" ht="15.75" customHeight="1">
      <c r="A804" s="86"/>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c r="Z804" s="86"/>
    </row>
    <row r="805" ht="15.75" customHeight="1">
      <c r="A805" s="86"/>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c r="Z805" s="86"/>
    </row>
    <row r="806" ht="15.75" customHeight="1">
      <c r="A806" s="86"/>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c r="Z806" s="86"/>
    </row>
    <row r="807" ht="15.75" customHeight="1">
      <c r="A807" s="86"/>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c r="Z807" s="86"/>
    </row>
    <row r="808" ht="15.75" customHeight="1">
      <c r="A808" s="86"/>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c r="Z808" s="86"/>
    </row>
    <row r="809" ht="15.75" customHeight="1">
      <c r="A809" s="86"/>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c r="Z809" s="86"/>
    </row>
    <row r="810" ht="15.75" customHeight="1">
      <c r="A810" s="86"/>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c r="Z810" s="86"/>
    </row>
    <row r="811" ht="15.75" customHeight="1">
      <c r="A811" s="86"/>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c r="Z811" s="86"/>
    </row>
    <row r="812" ht="15.75" customHeight="1">
      <c r="A812" s="86"/>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c r="Z812" s="86"/>
    </row>
    <row r="813" ht="15.75" customHeight="1">
      <c r="A813" s="86"/>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c r="Z813" s="86"/>
    </row>
    <row r="814" ht="15.75" customHeight="1">
      <c r="A814" s="86"/>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c r="Z814" s="86"/>
    </row>
    <row r="815" ht="15.75" customHeight="1">
      <c r="A815" s="86"/>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c r="Z815" s="86"/>
    </row>
    <row r="816" ht="15.75" customHeight="1">
      <c r="A816" s="86"/>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c r="Z816" s="86"/>
    </row>
    <row r="817" ht="15.75" customHeight="1">
      <c r="A817" s="86"/>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c r="Z817" s="86"/>
    </row>
    <row r="818" ht="15.75" customHeight="1">
      <c r="A818" s="86"/>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c r="Z818" s="86"/>
    </row>
    <row r="819" ht="15.75" customHeight="1">
      <c r="A819" s="86"/>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c r="Z819" s="86"/>
    </row>
    <row r="820" ht="15.75" customHeight="1">
      <c r="A820" s="86"/>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c r="Z820" s="86"/>
    </row>
    <row r="821" ht="15.75" customHeight="1">
      <c r="A821" s="86"/>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c r="Z821" s="86"/>
    </row>
    <row r="822" ht="15.75" customHeight="1">
      <c r="A822" s="86"/>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c r="Z822" s="86"/>
    </row>
    <row r="823" ht="15.75" customHeight="1">
      <c r="A823" s="86"/>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c r="Z823" s="86"/>
    </row>
    <row r="824" ht="15.75" customHeight="1">
      <c r="A824" s="86"/>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c r="Z824" s="86"/>
    </row>
    <row r="825" ht="15.75" customHeight="1">
      <c r="A825" s="86"/>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c r="Z825" s="86"/>
    </row>
    <row r="826" ht="15.75" customHeight="1">
      <c r="A826" s="86"/>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c r="Z826" s="86"/>
    </row>
    <row r="827" ht="15.75" customHeight="1">
      <c r="A827" s="86"/>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c r="Z827" s="86"/>
    </row>
    <row r="828" ht="15.75" customHeight="1">
      <c r="A828" s="86"/>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c r="Z828" s="86"/>
    </row>
    <row r="829" ht="15.75" customHeight="1">
      <c r="A829" s="86"/>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c r="Z829" s="86"/>
    </row>
    <row r="830" ht="15.75" customHeight="1">
      <c r="A830" s="86"/>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c r="Z830" s="86"/>
    </row>
    <row r="831" ht="15.75" customHeight="1">
      <c r="A831" s="86"/>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c r="Z831" s="86"/>
    </row>
    <row r="832" ht="15.75" customHeight="1">
      <c r="A832" s="86"/>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c r="Z832" s="86"/>
    </row>
    <row r="833" ht="15.75" customHeight="1">
      <c r="A833" s="86"/>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c r="Z833" s="86"/>
    </row>
    <row r="834" ht="15.75" customHeight="1">
      <c r="A834" s="86"/>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c r="Z834" s="86"/>
    </row>
    <row r="835" ht="15.75" customHeight="1">
      <c r="A835" s="86"/>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c r="Z835" s="86"/>
    </row>
    <row r="836" ht="15.75" customHeight="1">
      <c r="A836" s="86"/>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c r="Z836" s="86"/>
    </row>
    <row r="837" ht="15.75" customHeight="1">
      <c r="A837" s="86"/>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c r="Z837" s="86"/>
    </row>
    <row r="838" ht="15.75" customHeight="1">
      <c r="A838" s="86"/>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c r="Z838" s="86"/>
    </row>
    <row r="839" ht="15.75" customHeight="1">
      <c r="A839" s="86"/>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c r="Z839" s="86"/>
    </row>
    <row r="840" ht="15.75" customHeight="1">
      <c r="A840" s="86"/>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c r="Z840" s="86"/>
    </row>
    <row r="841" ht="15.75" customHeight="1">
      <c r="A841" s="86"/>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c r="Z841" s="86"/>
    </row>
    <row r="842" ht="15.75" customHeight="1">
      <c r="A842" s="86"/>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c r="Z842" s="86"/>
    </row>
    <row r="843" ht="15.75" customHeight="1">
      <c r="A843" s="86"/>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c r="Z843" s="86"/>
    </row>
    <row r="844" ht="15.75" customHeight="1">
      <c r="A844" s="86"/>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c r="Z844" s="86"/>
    </row>
    <row r="845" ht="15.75" customHeight="1">
      <c r="A845" s="86"/>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c r="Z845" s="86"/>
    </row>
    <row r="846" ht="15.75" customHeight="1">
      <c r="A846" s="86"/>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c r="Z846" s="86"/>
    </row>
    <row r="847" ht="15.75" customHeight="1">
      <c r="A847" s="86"/>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c r="Z847" s="86"/>
    </row>
    <row r="848" ht="15.75" customHeight="1">
      <c r="A848" s="86"/>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c r="Z848" s="86"/>
    </row>
    <row r="849" ht="15.75" customHeight="1">
      <c r="A849" s="86"/>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c r="Z849" s="86"/>
    </row>
    <row r="850" ht="15.75" customHeight="1">
      <c r="A850" s="86"/>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c r="Z850" s="86"/>
    </row>
    <row r="851" ht="15.75" customHeight="1">
      <c r="A851" s="86"/>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c r="Z851" s="86"/>
    </row>
    <row r="852" ht="15.75" customHeight="1">
      <c r="A852" s="86"/>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c r="Z852" s="86"/>
    </row>
    <row r="853" ht="15.75" customHeight="1">
      <c r="A853" s="86"/>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c r="Z853" s="86"/>
    </row>
    <row r="854" ht="15.75" customHeight="1">
      <c r="A854" s="86"/>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c r="Z854" s="86"/>
    </row>
    <row r="855" ht="15.75" customHeight="1">
      <c r="A855" s="86"/>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c r="Z855" s="86"/>
    </row>
    <row r="856" ht="15.75" customHeight="1">
      <c r="A856" s="86"/>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c r="Z856" s="86"/>
    </row>
    <row r="857" ht="15.75" customHeight="1">
      <c r="A857" s="86"/>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c r="Z857" s="86"/>
    </row>
    <row r="858" ht="15.75" customHeight="1">
      <c r="A858" s="86"/>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c r="Z858" s="86"/>
    </row>
    <row r="859" ht="15.75" customHeight="1">
      <c r="A859" s="86"/>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c r="Z859" s="86"/>
    </row>
    <row r="860" ht="15.75" customHeight="1">
      <c r="A860" s="86"/>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c r="Z860" s="86"/>
    </row>
    <row r="861" ht="15.75" customHeight="1">
      <c r="A861" s="86"/>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c r="Z861" s="86"/>
    </row>
    <row r="862" ht="15.75" customHeight="1">
      <c r="A862" s="86"/>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c r="Z862" s="86"/>
    </row>
    <row r="863" ht="15.75" customHeight="1">
      <c r="A863" s="86"/>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c r="Z863" s="86"/>
    </row>
    <row r="864" ht="15.75" customHeight="1">
      <c r="A864" s="86"/>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c r="Z864" s="86"/>
    </row>
    <row r="865" ht="15.75" customHeight="1">
      <c r="A865" s="86"/>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c r="Z865" s="86"/>
    </row>
    <row r="866" ht="15.75" customHeight="1">
      <c r="A866" s="86"/>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c r="Z866" s="86"/>
    </row>
    <row r="867" ht="15.75" customHeight="1">
      <c r="A867" s="86"/>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c r="Z867" s="86"/>
    </row>
    <row r="868" ht="15.75" customHeight="1">
      <c r="A868" s="86"/>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c r="Z868" s="86"/>
    </row>
    <row r="869" ht="15.75" customHeight="1">
      <c r="A869" s="86"/>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row>
    <row r="870" ht="15.75" customHeight="1">
      <c r="A870" s="86"/>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c r="Z870" s="86"/>
    </row>
    <row r="871" ht="15.75" customHeight="1">
      <c r="A871" s="86"/>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c r="Z871" s="86"/>
    </row>
    <row r="872" ht="15.75" customHeight="1">
      <c r="A872" s="86"/>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c r="Z872" s="86"/>
    </row>
    <row r="873" ht="15.75" customHeight="1">
      <c r="A873" s="86"/>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c r="Z873" s="86"/>
    </row>
    <row r="874" ht="15.75" customHeight="1">
      <c r="A874" s="86"/>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c r="Z874" s="86"/>
    </row>
    <row r="875" ht="15.75" customHeight="1">
      <c r="A875" s="86"/>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c r="Z875" s="86"/>
    </row>
    <row r="876" ht="15.75" customHeight="1">
      <c r="A876" s="86"/>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c r="Z876" s="86"/>
    </row>
    <row r="877" ht="15.75"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c r="Z877" s="86"/>
    </row>
    <row r="878" ht="15.75" customHeight="1">
      <c r="A878" s="86"/>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c r="Z878" s="86"/>
    </row>
    <row r="879" ht="15.75" customHeight="1">
      <c r="A879" s="86"/>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c r="Z879" s="86"/>
    </row>
    <row r="880" ht="15.75" customHeight="1">
      <c r="A880" s="86"/>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c r="Z880" s="86"/>
    </row>
    <row r="881" ht="15.75" customHeight="1">
      <c r="A881" s="86"/>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c r="Z881" s="86"/>
    </row>
    <row r="882" ht="15.75" customHeight="1">
      <c r="A882" s="86"/>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c r="Z882" s="86"/>
    </row>
    <row r="883" ht="15.75" customHeight="1">
      <c r="A883" s="86"/>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c r="Z883" s="86"/>
    </row>
    <row r="884" ht="15.75" customHeight="1">
      <c r="A884" s="86"/>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c r="Z884" s="86"/>
    </row>
    <row r="885" ht="15.75" customHeight="1">
      <c r="A885" s="86"/>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c r="Z885" s="86"/>
    </row>
    <row r="886" ht="15.75" customHeight="1">
      <c r="A886" s="86"/>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c r="Z886" s="86"/>
    </row>
    <row r="887" ht="15.75" customHeight="1">
      <c r="A887" s="86"/>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c r="Z887" s="86"/>
    </row>
    <row r="888" ht="15.75" customHeight="1">
      <c r="A888" s="86"/>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c r="Z888" s="86"/>
    </row>
    <row r="889" ht="15.75" customHeight="1">
      <c r="A889" s="86"/>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c r="Z889" s="86"/>
    </row>
    <row r="890" ht="15.75" customHeight="1">
      <c r="A890" s="86"/>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c r="Z890" s="86"/>
    </row>
    <row r="891" ht="15.75" customHeight="1">
      <c r="A891" s="86"/>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row>
    <row r="892" ht="15.75" customHeight="1">
      <c r="A892" s="86"/>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c r="Z892" s="86"/>
    </row>
    <row r="893" ht="15.75" customHeight="1">
      <c r="A893" s="86"/>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c r="Z893" s="86"/>
    </row>
    <row r="894" ht="15.75" customHeight="1">
      <c r="A894" s="86"/>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c r="Z894" s="86"/>
    </row>
    <row r="895" ht="15.75" customHeight="1">
      <c r="A895" s="86"/>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c r="Z895" s="86"/>
    </row>
    <row r="896" ht="15.75" customHeight="1">
      <c r="A896" s="86"/>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c r="Z896" s="86"/>
    </row>
    <row r="897" ht="15.75" customHeight="1">
      <c r="A897" s="86"/>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c r="Z897" s="86"/>
    </row>
    <row r="898" ht="15.75" customHeight="1">
      <c r="A898" s="86"/>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c r="Z898" s="86"/>
    </row>
    <row r="899" ht="15.75" customHeight="1">
      <c r="A899" s="86"/>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c r="Z899" s="86"/>
    </row>
    <row r="900" ht="15.75" customHeight="1">
      <c r="A900" s="86"/>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c r="Z900" s="86"/>
    </row>
    <row r="901" ht="15.75" customHeight="1">
      <c r="A901" s="86"/>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c r="Z901" s="86"/>
    </row>
    <row r="902" ht="15.75" customHeight="1">
      <c r="A902" s="86"/>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c r="Z902" s="86"/>
    </row>
    <row r="903" ht="15.75" customHeight="1">
      <c r="A903" s="86"/>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c r="Z903" s="86"/>
    </row>
    <row r="904" ht="15.75" customHeight="1">
      <c r="A904" s="86"/>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c r="Z904" s="86"/>
    </row>
    <row r="905" ht="15.75" customHeight="1">
      <c r="A905" s="86"/>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c r="Z905" s="86"/>
    </row>
    <row r="906" ht="15.75" customHeight="1">
      <c r="A906" s="86"/>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c r="Z906" s="86"/>
    </row>
    <row r="907" ht="15.75" customHeight="1">
      <c r="A907" s="86"/>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c r="Z907" s="86"/>
    </row>
    <row r="908" ht="15.75" customHeight="1">
      <c r="A908" s="86"/>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c r="Z908" s="86"/>
    </row>
    <row r="909" ht="15.75" customHeight="1">
      <c r="A909" s="86"/>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c r="Z909" s="86"/>
    </row>
    <row r="910" ht="15.75" customHeight="1">
      <c r="A910" s="86"/>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c r="Z910" s="86"/>
    </row>
    <row r="911" ht="15.75" customHeight="1">
      <c r="A911" s="86"/>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c r="Z911" s="86"/>
    </row>
    <row r="912" ht="15.75" customHeight="1">
      <c r="A912" s="86"/>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c r="Z912" s="86"/>
    </row>
    <row r="913" ht="15.75" customHeight="1">
      <c r="A913" s="86"/>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c r="Z913" s="86"/>
    </row>
    <row r="914" ht="15.75" customHeight="1">
      <c r="A914" s="86"/>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c r="Z914" s="86"/>
    </row>
    <row r="915" ht="15.75" customHeight="1">
      <c r="A915" s="86"/>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c r="Z915" s="86"/>
    </row>
    <row r="916" ht="15.75" customHeight="1">
      <c r="A916" s="86"/>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c r="Z916" s="86"/>
    </row>
    <row r="917" ht="15.75" customHeight="1">
      <c r="A917" s="86"/>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c r="Z917" s="86"/>
    </row>
    <row r="918" ht="15.75" customHeight="1">
      <c r="A918" s="86"/>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c r="Z918" s="86"/>
    </row>
    <row r="919" ht="15.75" customHeight="1">
      <c r="A919" s="86"/>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c r="Z919" s="86"/>
    </row>
    <row r="920" ht="15.75" customHeight="1">
      <c r="A920" s="86"/>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c r="Z920" s="86"/>
    </row>
    <row r="921" ht="15.75" customHeight="1">
      <c r="A921" s="86"/>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c r="Z921" s="86"/>
    </row>
    <row r="922" ht="15.75" customHeight="1">
      <c r="A922" s="86"/>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c r="Z922" s="86"/>
    </row>
    <row r="923" ht="15.75" customHeight="1">
      <c r="A923" s="86"/>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c r="Z923" s="86"/>
    </row>
    <row r="924" ht="15.75" customHeight="1">
      <c r="A924" s="86"/>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c r="Z924" s="86"/>
    </row>
    <row r="925" ht="15.75" customHeight="1">
      <c r="A925" s="86"/>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c r="Z925" s="86"/>
    </row>
    <row r="926" ht="15.75" customHeight="1">
      <c r="A926" s="86"/>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c r="Z926" s="86"/>
    </row>
    <row r="927" ht="15.75" customHeight="1">
      <c r="A927" s="86"/>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c r="Z927" s="86"/>
    </row>
    <row r="928" ht="15.75" customHeight="1">
      <c r="A928" s="86"/>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c r="Z928" s="86"/>
    </row>
    <row r="929" ht="15.75" customHeight="1">
      <c r="A929" s="86"/>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c r="Z929" s="86"/>
    </row>
    <row r="930" ht="15.75" customHeight="1">
      <c r="A930" s="86"/>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c r="Z930" s="86"/>
    </row>
    <row r="931" ht="15.75" customHeight="1">
      <c r="A931" s="86"/>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c r="Z931" s="86"/>
    </row>
    <row r="932" ht="15.75" customHeight="1">
      <c r="A932" s="86"/>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c r="Z932" s="86"/>
    </row>
    <row r="933" ht="15.75" customHeight="1">
      <c r="A933" s="86"/>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c r="Z933" s="86"/>
    </row>
    <row r="934" ht="15.75" customHeight="1">
      <c r="A934" s="86"/>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c r="Z934" s="86"/>
    </row>
    <row r="935" ht="15.75" customHeight="1">
      <c r="A935" s="86"/>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c r="Z935" s="86"/>
    </row>
    <row r="936" ht="15.75" customHeight="1">
      <c r="A936" s="86"/>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c r="Z936" s="86"/>
    </row>
    <row r="937" ht="15.75" customHeight="1">
      <c r="A937" s="86"/>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c r="Z937" s="86"/>
    </row>
    <row r="938" ht="15.75" customHeight="1">
      <c r="A938" s="86"/>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c r="Z938" s="86"/>
    </row>
    <row r="939" ht="15.75" customHeight="1">
      <c r="A939" s="86"/>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c r="Z939" s="86"/>
    </row>
    <row r="940" ht="15.75" customHeight="1">
      <c r="A940" s="86"/>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c r="Z940" s="86"/>
    </row>
    <row r="941" ht="15.75" customHeight="1">
      <c r="A941" s="86"/>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c r="Z941" s="86"/>
    </row>
    <row r="942" ht="15.75" customHeight="1">
      <c r="A942" s="86"/>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c r="Z942" s="86"/>
    </row>
    <row r="943" ht="15.75" customHeight="1">
      <c r="A943" s="86"/>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c r="Z943" s="86"/>
    </row>
    <row r="944" ht="15.75" customHeight="1">
      <c r="A944" s="86"/>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c r="Z944" s="86"/>
    </row>
    <row r="945" ht="15.75" customHeight="1">
      <c r="A945" s="86"/>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c r="Z945" s="86"/>
    </row>
    <row r="946" ht="15.75" customHeight="1">
      <c r="A946" s="86"/>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c r="Z946" s="86"/>
    </row>
    <row r="947" ht="15.75" customHeight="1">
      <c r="A947" s="86"/>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c r="Z947" s="86"/>
    </row>
    <row r="948" ht="15.75" customHeight="1">
      <c r="A948" s="86"/>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c r="Z948" s="86"/>
    </row>
    <row r="949" ht="15.75" customHeight="1">
      <c r="A949" s="86"/>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c r="Z949" s="86"/>
    </row>
    <row r="950" ht="15.75" customHeight="1">
      <c r="A950" s="86"/>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c r="Z950" s="86"/>
    </row>
    <row r="951" ht="15.75" customHeight="1">
      <c r="A951" s="86"/>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c r="Z951" s="86"/>
    </row>
    <row r="952" ht="15.75" customHeight="1">
      <c r="A952" s="86"/>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c r="Z952" s="86"/>
    </row>
    <row r="953" ht="15.75" customHeight="1">
      <c r="A953" s="86"/>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c r="Z953" s="86"/>
    </row>
    <row r="954" ht="15.75" customHeight="1">
      <c r="A954" s="86"/>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c r="Z954" s="86"/>
    </row>
    <row r="955" ht="15.75" customHeight="1">
      <c r="A955" s="86"/>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c r="Z955" s="86"/>
    </row>
    <row r="956" ht="15.75" customHeight="1">
      <c r="A956" s="86"/>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c r="Z956" s="86"/>
    </row>
    <row r="957" ht="15.75" customHeight="1">
      <c r="A957" s="86"/>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c r="Z957" s="86"/>
    </row>
    <row r="958" ht="15.75" customHeight="1">
      <c r="A958" s="86"/>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c r="Z958" s="86"/>
    </row>
    <row r="959" ht="15.75" customHeight="1">
      <c r="A959" s="86"/>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c r="Z959" s="86"/>
    </row>
    <row r="960" ht="15.75" customHeight="1">
      <c r="A960" s="86"/>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c r="Z960" s="86"/>
    </row>
    <row r="961" ht="15.75" customHeight="1">
      <c r="A961" s="86"/>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c r="Z961" s="86"/>
    </row>
    <row r="962" ht="15.75" customHeight="1">
      <c r="A962" s="86"/>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c r="Z962" s="86"/>
    </row>
    <row r="963" ht="15.75" customHeight="1">
      <c r="A963" s="86"/>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c r="Z963" s="86"/>
    </row>
    <row r="964" ht="15.75" customHeight="1">
      <c r="A964" s="86"/>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c r="Z964" s="86"/>
    </row>
    <row r="965" ht="15.75" customHeight="1">
      <c r="A965" s="86"/>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c r="Z965" s="86"/>
    </row>
    <row r="966" ht="15.75" customHeight="1">
      <c r="A966" s="86"/>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c r="Z966" s="86"/>
    </row>
    <row r="967" ht="15.75" customHeight="1">
      <c r="A967" s="86"/>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c r="Z967" s="86"/>
    </row>
    <row r="968" ht="15.75" customHeight="1">
      <c r="A968" s="86"/>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c r="Z968" s="86"/>
    </row>
    <row r="969" ht="15.75" customHeight="1">
      <c r="A969" s="86"/>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c r="Z969" s="86"/>
    </row>
    <row r="970" ht="15.75" customHeight="1">
      <c r="A970" s="86"/>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c r="Z970" s="86"/>
    </row>
    <row r="971" ht="15.75" customHeight="1">
      <c r="A971" s="86"/>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c r="Z971" s="86"/>
    </row>
    <row r="972" ht="15.75" customHeight="1">
      <c r="A972" s="86"/>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c r="Z972" s="86"/>
    </row>
    <row r="973" ht="15.75" customHeight="1">
      <c r="A973" s="86"/>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c r="Z973" s="86"/>
    </row>
    <row r="974" ht="15.75" customHeight="1">
      <c r="A974" s="86"/>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c r="Z974" s="86"/>
    </row>
    <row r="975" ht="15.75" customHeight="1">
      <c r="A975" s="86"/>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c r="Z975" s="86"/>
    </row>
    <row r="976" ht="15.75" customHeight="1">
      <c r="A976" s="86"/>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c r="Z976" s="86"/>
    </row>
    <row r="977" ht="15.75" customHeight="1">
      <c r="A977" s="86"/>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c r="Z977" s="86"/>
    </row>
    <row r="978" ht="15.75" customHeight="1">
      <c r="A978" s="86"/>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c r="Z978" s="86"/>
    </row>
    <row r="979" ht="15.75" customHeight="1">
      <c r="A979" s="86"/>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c r="Z979" s="86"/>
    </row>
    <row r="980" ht="15.75" customHeight="1">
      <c r="A980" s="86"/>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c r="Z980" s="86"/>
    </row>
    <row r="981" ht="15.75" customHeight="1">
      <c r="A981" s="86"/>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c r="Z981" s="86"/>
    </row>
    <row r="982" ht="15.75" customHeight="1">
      <c r="A982" s="86"/>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c r="Z982" s="86"/>
    </row>
    <row r="983" ht="15.75" customHeight="1">
      <c r="A983" s="86"/>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c r="Z983" s="86"/>
    </row>
    <row r="984" ht="15.75" customHeight="1">
      <c r="A984" s="86"/>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c r="Z984" s="86"/>
    </row>
    <row r="985" ht="15.75" customHeight="1">
      <c r="A985" s="86"/>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c r="Z985" s="86"/>
    </row>
    <row r="986" ht="15.75" customHeight="1">
      <c r="A986" s="86"/>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c r="Z986" s="86"/>
    </row>
    <row r="987" ht="15.75" customHeight="1">
      <c r="A987" s="86"/>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c r="Z987" s="86"/>
    </row>
    <row r="988" ht="15.75" customHeight="1">
      <c r="A988" s="86"/>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c r="Z988" s="86"/>
    </row>
    <row r="989" ht="15.75" customHeight="1">
      <c r="A989" s="86"/>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c r="Z989" s="86"/>
    </row>
    <row r="990" ht="15.75" customHeight="1">
      <c r="A990" s="86"/>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c r="Z990" s="86"/>
    </row>
    <row r="991" ht="15.75" customHeight="1">
      <c r="A991" s="86"/>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c r="Z991" s="86"/>
    </row>
    <row r="992" ht="15.75" customHeight="1">
      <c r="A992" s="86"/>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c r="Z992" s="86"/>
    </row>
    <row r="993" ht="15.75" customHeight="1">
      <c r="A993" s="86"/>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c r="Z993" s="86"/>
    </row>
    <row r="994" ht="15.75" customHeight="1">
      <c r="A994" s="86"/>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c r="Z994" s="86"/>
    </row>
    <row r="995" ht="15.75" customHeight="1">
      <c r="A995" s="86"/>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c r="Z995" s="86"/>
    </row>
    <row r="996" ht="15.75" customHeight="1">
      <c r="A996" s="86"/>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c r="Z996" s="86"/>
    </row>
    <row r="997" ht="15.75" customHeight="1">
      <c r="A997" s="86"/>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c r="Z997" s="86"/>
    </row>
    <row r="998" ht="15.75" customHeight="1">
      <c r="A998" s="86"/>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c r="Z998" s="86"/>
    </row>
    <row r="999" ht="15.75" customHeight="1">
      <c r="A999" s="86"/>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row>
    <row r="1000" ht="15.75" customHeight="1">
      <c r="A1000" s="86"/>
      <c r="B1000" s="86"/>
      <c r="C1000" s="86"/>
      <c r="D1000" s="86"/>
      <c r="E1000" s="86"/>
      <c r="F1000" s="86"/>
      <c r="G1000" s="86"/>
      <c r="H1000" s="86"/>
      <c r="I1000" s="86"/>
      <c r="J1000" s="86"/>
      <c r="K1000" s="86"/>
      <c r="L1000" s="86"/>
      <c r="M1000" s="86"/>
      <c r="N1000" s="86"/>
      <c r="O1000" s="86"/>
      <c r="P1000" s="86"/>
      <c r="Q1000" s="86"/>
      <c r="R1000" s="86"/>
      <c r="S1000" s="86"/>
      <c r="T1000" s="86"/>
      <c r="U1000" s="86"/>
      <c r="V1000" s="86"/>
      <c r="W1000" s="86"/>
      <c r="X1000" s="86"/>
      <c r="Y1000" s="86"/>
      <c r="Z1000" s="86"/>
    </row>
  </sheetData>
  <mergeCells count="33">
    <mergeCell ref="A1:H2"/>
    <mergeCell ref="A4:B4"/>
    <mergeCell ref="C4:E4"/>
    <mergeCell ref="F4:H4"/>
    <mergeCell ref="A5:B5"/>
    <mergeCell ref="C5:D5"/>
    <mergeCell ref="G5:H5"/>
    <mergeCell ref="A6:B6"/>
    <mergeCell ref="C6:D6"/>
    <mergeCell ref="G6:H6"/>
    <mergeCell ref="C7:D7"/>
    <mergeCell ref="G7:H7"/>
    <mergeCell ref="C11:E11"/>
    <mergeCell ref="C12:E12"/>
    <mergeCell ref="C13:E13"/>
    <mergeCell ref="C14:E14"/>
    <mergeCell ref="C15:E15"/>
    <mergeCell ref="C16:E16"/>
    <mergeCell ref="C17:E17"/>
    <mergeCell ref="C18:E18"/>
    <mergeCell ref="C19:E19"/>
    <mergeCell ref="C27:E27"/>
    <mergeCell ref="C28:E28"/>
    <mergeCell ref="C29:E29"/>
    <mergeCell ref="C30:E30"/>
    <mergeCell ref="C31:E31"/>
    <mergeCell ref="C20:E20"/>
    <mergeCell ref="C21:E21"/>
    <mergeCell ref="C22:E22"/>
    <mergeCell ref="C23:E23"/>
    <mergeCell ref="C24:E24"/>
    <mergeCell ref="C25:E25"/>
    <mergeCell ref="C26:E2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0"/>
  </cols>
  <sheetData>
    <row r="1" ht="12.75" customHeight="1">
      <c r="G1" s="110" t="s">
        <v>119</v>
      </c>
    </row>
    <row r="2" ht="13.5" customHeight="1">
      <c r="A2" s="111" t="s">
        <v>24</v>
      </c>
      <c r="B2" s="112"/>
      <c r="C2" s="112"/>
      <c r="D2" s="112"/>
      <c r="E2" s="113"/>
      <c r="F2" s="114">
        <f>SUM(A5+A8+A11+A14+A17)</f>
        <v>104</v>
      </c>
      <c r="G2" s="115">
        <f>(((F2-Hoja5!F13)/Hoja5!G13)*15)+100</f>
        <v>61.38251099</v>
      </c>
    </row>
    <row r="3" ht="12.75" customHeight="1">
      <c r="G3" s="16"/>
      <c r="I3" s="116" t="s">
        <v>23</v>
      </c>
      <c r="J3" s="116"/>
      <c r="K3" s="117" t="s">
        <v>119</v>
      </c>
    </row>
    <row r="4" ht="12.75" customHeight="1">
      <c r="A4" s="118" t="s">
        <v>1</v>
      </c>
      <c r="B4" s="119"/>
      <c r="C4" s="119"/>
      <c r="D4" s="119"/>
      <c r="E4" s="119"/>
      <c r="F4" s="120"/>
      <c r="G4" s="121"/>
      <c r="I4" s="122">
        <f>SUM(F2+F19+E30+E41+E49)-('Plantilla de Correción'!C13+'Plantilla de Correción'!C22+'Plantilla de Correción'!C25+'Plantilla de Correción'!C33+'Plantilla de Correción'!C37+'Plantilla de Correción'!F9+'Plantilla de Correción'!F35+'Plantilla de Correción'!F55)</f>
        <v>271</v>
      </c>
      <c r="J4" s="122"/>
      <c r="K4" s="123">
        <f>(((I4-Hoja5!F12)/Hoja5!G12)*15)+100</f>
        <v>41.69533907</v>
      </c>
    </row>
    <row r="5" ht="12.75" customHeight="1">
      <c r="A5" s="124">
        <f>Hoja1!B5</f>
        <v>31</v>
      </c>
      <c r="B5" s="119"/>
      <c r="C5" s="119"/>
      <c r="D5" s="119"/>
      <c r="E5" s="119"/>
      <c r="F5" s="120"/>
      <c r="G5" s="125">
        <f>(((A5-Hoja5!F19)/Hoja5!G19)*15)+100</f>
        <v>103.4375</v>
      </c>
    </row>
    <row r="6" ht="12.0" customHeight="1">
      <c r="A6" s="126"/>
      <c r="B6" s="126"/>
      <c r="C6" s="126"/>
      <c r="D6" s="126"/>
      <c r="E6" s="126"/>
      <c r="F6" s="126"/>
      <c r="G6" s="127"/>
    </row>
    <row r="7" ht="12.75" customHeight="1">
      <c r="A7" s="128" t="s">
        <v>2</v>
      </c>
      <c r="B7" s="129"/>
      <c r="C7" s="129"/>
      <c r="D7" s="129"/>
      <c r="E7" s="129"/>
      <c r="F7" s="130"/>
      <c r="G7" s="127"/>
    </row>
    <row r="8" ht="12.75" customHeight="1">
      <c r="A8" s="131">
        <f>Hoja1!B8</f>
        <v>24</v>
      </c>
      <c r="B8" s="132"/>
      <c r="C8" s="132"/>
      <c r="D8" s="132"/>
      <c r="E8" s="132"/>
      <c r="F8" s="133"/>
      <c r="G8" s="125">
        <f>(((A8-Hoja5!F20)/Hoja5!G20)*15)+100</f>
        <v>94.1416309</v>
      </c>
    </row>
    <row r="9" ht="12.0" customHeight="1">
      <c r="A9" s="126"/>
      <c r="B9" s="126"/>
      <c r="C9" s="126"/>
      <c r="D9" s="126"/>
      <c r="E9" s="126"/>
      <c r="F9" s="126"/>
      <c r="G9" s="127"/>
    </row>
    <row r="10" ht="12.75" customHeight="1">
      <c r="A10" s="128" t="s">
        <v>3</v>
      </c>
      <c r="B10" s="129"/>
      <c r="C10" s="129"/>
      <c r="D10" s="129"/>
      <c r="E10" s="129"/>
      <c r="F10" s="130"/>
      <c r="G10" s="127"/>
    </row>
    <row r="11" ht="12.75" customHeight="1">
      <c r="A11" s="131">
        <f>Hoja1!B11</f>
        <v>9</v>
      </c>
      <c r="B11" s="132"/>
      <c r="C11" s="132"/>
      <c r="D11" s="132"/>
      <c r="E11" s="132"/>
      <c r="F11" s="133"/>
      <c r="G11" s="125">
        <f>(((A11-Hoja5!F21)/Hoja5!G21)*15)+100</f>
        <v>36.23809524</v>
      </c>
    </row>
    <row r="12" ht="12.0" customHeight="1">
      <c r="A12" s="126"/>
      <c r="B12" s="126"/>
      <c r="C12" s="126"/>
      <c r="D12" s="126"/>
      <c r="E12" s="126"/>
      <c r="F12" s="126"/>
      <c r="G12" s="127"/>
    </row>
    <row r="13" ht="12.75" customHeight="1">
      <c r="A13" s="128" t="s">
        <v>4</v>
      </c>
      <c r="B13" s="129"/>
      <c r="C13" s="129"/>
      <c r="D13" s="129"/>
      <c r="E13" s="129"/>
      <c r="F13" s="130"/>
      <c r="G13" s="127"/>
    </row>
    <row r="14" ht="12.75" customHeight="1">
      <c r="A14" s="124">
        <f>Hoja1!B14</f>
        <v>26</v>
      </c>
      <c r="B14" s="119"/>
      <c r="C14" s="119"/>
      <c r="D14" s="119"/>
      <c r="E14" s="119"/>
      <c r="F14" s="120"/>
      <c r="G14" s="125">
        <f>(((A14-Hoja5!F22)/Hoja5!G22)*15)+100</f>
        <v>65.32544379</v>
      </c>
    </row>
    <row r="15" ht="12.0" customHeight="1">
      <c r="A15" s="126"/>
      <c r="B15" s="126"/>
      <c r="C15" s="126"/>
      <c r="D15" s="126"/>
      <c r="E15" s="126"/>
      <c r="F15" s="126"/>
      <c r="G15" s="127"/>
    </row>
    <row r="16" ht="12.75" customHeight="1">
      <c r="A16" s="128" t="s">
        <v>5</v>
      </c>
      <c r="B16" s="129"/>
      <c r="C16" s="129"/>
      <c r="D16" s="129"/>
      <c r="E16" s="129"/>
      <c r="F16" s="130"/>
      <c r="G16" s="127"/>
    </row>
    <row r="17" ht="12.75" customHeight="1">
      <c r="A17" s="124">
        <f>Hoja1!B17</f>
        <v>14</v>
      </c>
      <c r="B17" s="119"/>
      <c r="C17" s="119"/>
      <c r="D17" s="119"/>
      <c r="E17" s="119"/>
      <c r="F17" s="120"/>
      <c r="G17" s="125">
        <f>(((A17-Hoja5!F23)/Hoja5!G23)*15)+100</f>
        <v>55.234375</v>
      </c>
    </row>
    <row r="18" ht="12.0" customHeight="1">
      <c r="A18" s="126"/>
      <c r="B18" s="126"/>
      <c r="C18" s="126"/>
      <c r="D18" s="126"/>
      <c r="E18" s="126"/>
      <c r="F18" s="126"/>
      <c r="G18" s="127"/>
    </row>
    <row r="19" ht="13.5" customHeight="1">
      <c r="A19" s="134" t="s">
        <v>6</v>
      </c>
      <c r="B19" s="126"/>
      <c r="C19" s="126"/>
      <c r="D19" s="126"/>
      <c r="E19" s="135">
        <f>SUM(A22+A25+A28)</f>
        <v>74</v>
      </c>
      <c r="F19" s="135">
        <f>SUM((E19)-('Plantilla de Correción'!C57+'Plantilla de Correción'!F8+'Plantilla de Correción'!F19+'Plantilla de Correción'!F45+'Plantilla de Correción'!I11))</f>
        <v>63</v>
      </c>
      <c r="G19" s="136">
        <f>(((F19-Hoja5!F14)/Hoja5!G14)*15)+100</f>
        <v>49.51152074</v>
      </c>
    </row>
    <row r="20" ht="12.75" customHeight="1">
      <c r="A20" s="126"/>
      <c r="B20" s="126"/>
      <c r="C20" s="126"/>
      <c r="D20" s="126"/>
      <c r="E20" s="126"/>
      <c r="F20" s="126"/>
      <c r="G20" s="125"/>
    </row>
    <row r="21" ht="12.75" customHeight="1">
      <c r="A21" s="128" t="s">
        <v>7</v>
      </c>
      <c r="B21" s="129"/>
      <c r="C21" s="129"/>
      <c r="D21" s="129"/>
      <c r="E21" s="129"/>
      <c r="F21" s="130"/>
      <c r="G21" s="127"/>
    </row>
    <row r="22" ht="12.75" customHeight="1">
      <c r="A22" s="137">
        <f>Hoja1!B22</f>
        <v>35</v>
      </c>
      <c r="B22" s="119"/>
      <c r="C22" s="119"/>
      <c r="D22" s="119"/>
      <c r="E22" s="119"/>
      <c r="F22" s="120"/>
      <c r="G22" s="125">
        <f>(((A22-Hoja5!F25)/Hoja5!G25)*15)+100</f>
        <v>77.00166113</v>
      </c>
    </row>
    <row r="23" ht="12.0" customHeight="1">
      <c r="A23" s="138"/>
      <c r="B23" s="126"/>
      <c r="C23" s="126"/>
      <c r="D23" s="126"/>
      <c r="E23" s="126"/>
      <c r="F23" s="126"/>
      <c r="G23" s="127"/>
    </row>
    <row r="24" ht="12.75" customHeight="1">
      <c r="A24" s="128" t="s">
        <v>8</v>
      </c>
      <c r="B24" s="129"/>
      <c r="C24" s="129"/>
      <c r="D24" s="129"/>
      <c r="E24" s="129"/>
      <c r="F24" s="130"/>
      <c r="G24" s="127"/>
    </row>
    <row r="25" ht="12.75" customHeight="1">
      <c r="A25" s="137">
        <f>Hoja1!B25</f>
        <v>22</v>
      </c>
      <c r="B25" s="119"/>
      <c r="C25" s="119"/>
      <c r="D25" s="119"/>
      <c r="E25" s="119"/>
      <c r="F25" s="120"/>
      <c r="G25" s="125">
        <f>(((A25-Hoja5!F26)/Hoja5!G26)*15)+100</f>
        <v>35.28397566</v>
      </c>
    </row>
    <row r="26" ht="12.0" customHeight="1">
      <c r="A26" s="138"/>
      <c r="B26" s="126"/>
      <c r="C26" s="126"/>
      <c r="D26" s="126"/>
      <c r="E26" s="126"/>
      <c r="F26" s="126"/>
      <c r="G26" s="127"/>
    </row>
    <row r="27" ht="12.75" customHeight="1">
      <c r="A27" s="128" t="s">
        <v>9</v>
      </c>
      <c r="B27" s="129"/>
      <c r="C27" s="129"/>
      <c r="D27" s="129"/>
      <c r="E27" s="129"/>
      <c r="F27" s="130"/>
      <c r="G27" s="127"/>
    </row>
    <row r="28" ht="12.75" customHeight="1">
      <c r="A28" s="137">
        <f>Hoja1!B28</f>
        <v>17</v>
      </c>
      <c r="B28" s="119"/>
      <c r="C28" s="119"/>
      <c r="D28" s="119"/>
      <c r="E28" s="119"/>
      <c r="F28" s="120"/>
      <c r="G28" s="125">
        <f>(((A28-Hoja5!F24)/Hoja5!G24)*15)+100</f>
        <v>40.89498807</v>
      </c>
    </row>
    <row r="29" ht="12.0" customHeight="1">
      <c r="A29" s="126"/>
      <c r="B29" s="126"/>
      <c r="C29" s="126"/>
      <c r="D29" s="126"/>
      <c r="E29" s="126"/>
      <c r="F29" s="126"/>
      <c r="G29" s="127"/>
    </row>
    <row r="30" ht="13.5" customHeight="1">
      <c r="A30" s="134" t="s">
        <v>10</v>
      </c>
      <c r="B30" s="126"/>
      <c r="C30" s="126"/>
      <c r="D30" s="126"/>
      <c r="E30" s="135">
        <f>SUM(A36+A39+A33)</f>
        <v>58</v>
      </c>
      <c r="F30" s="126"/>
      <c r="G30" s="136">
        <f>(((E30-Hoja5!F15)/Hoja5!G15)*15)+100</f>
        <v>49.0529695</v>
      </c>
    </row>
    <row r="31" ht="12.75" customHeight="1">
      <c r="A31" s="126"/>
      <c r="B31" s="126"/>
      <c r="C31" s="126"/>
      <c r="D31" s="126"/>
      <c r="E31" s="126"/>
      <c r="F31" s="126"/>
      <c r="G31" s="125"/>
    </row>
    <row r="32" ht="12.75" customHeight="1">
      <c r="A32" s="128" t="s">
        <v>11</v>
      </c>
      <c r="B32" s="129"/>
      <c r="C32" s="129"/>
      <c r="D32" s="129"/>
      <c r="E32" s="129"/>
      <c r="F32" s="130"/>
      <c r="G32" s="127"/>
    </row>
    <row r="33" ht="12.75" customHeight="1">
      <c r="A33" s="137">
        <f>Hoja1!B33</f>
        <v>16</v>
      </c>
      <c r="B33" s="119"/>
      <c r="C33" s="119"/>
      <c r="D33" s="119"/>
      <c r="E33" s="119"/>
      <c r="F33" s="120"/>
      <c r="G33" s="125">
        <f>(((A33-Hoja5!F27)/Hoja5!G27)*15)+100</f>
        <v>48.51086957</v>
      </c>
    </row>
    <row r="34" ht="12.0" customHeight="1">
      <c r="A34" s="138"/>
      <c r="B34" s="126"/>
      <c r="C34" s="126"/>
      <c r="D34" s="126"/>
      <c r="E34" s="126"/>
      <c r="F34" s="126"/>
      <c r="G34" s="127"/>
    </row>
    <row r="35" ht="12.75" customHeight="1">
      <c r="A35" s="128" t="s">
        <v>12</v>
      </c>
      <c r="B35" s="129"/>
      <c r="C35" s="129"/>
      <c r="D35" s="129"/>
      <c r="E35" s="129"/>
      <c r="F35" s="130"/>
      <c r="G35" s="127"/>
    </row>
    <row r="36" ht="12.75" customHeight="1">
      <c r="A36" s="137">
        <f>Hoja1!B36</f>
        <v>26</v>
      </c>
      <c r="B36" s="119"/>
      <c r="C36" s="119"/>
      <c r="D36" s="119"/>
      <c r="E36" s="119"/>
      <c r="F36" s="120"/>
      <c r="G36" s="125">
        <f>(((A36-Hoja5!F28)/Hoja5!G28)*15)+100</f>
        <v>63.62903226</v>
      </c>
    </row>
    <row r="37" ht="12.0" customHeight="1">
      <c r="A37" s="138"/>
      <c r="B37" s="126"/>
      <c r="C37" s="126"/>
      <c r="D37" s="126"/>
      <c r="E37" s="126"/>
      <c r="F37" s="126"/>
      <c r="G37" s="127"/>
    </row>
    <row r="38" ht="12.75" customHeight="1">
      <c r="A38" s="128" t="s">
        <v>13</v>
      </c>
      <c r="B38" s="129"/>
      <c r="C38" s="129"/>
      <c r="D38" s="129"/>
      <c r="E38" s="129"/>
      <c r="F38" s="130"/>
      <c r="G38" s="127"/>
    </row>
    <row r="39" ht="12.75" customHeight="1">
      <c r="A39" s="137">
        <f>Hoja1!B39</f>
        <v>16</v>
      </c>
      <c r="B39" s="119"/>
      <c r="C39" s="119"/>
      <c r="D39" s="119"/>
      <c r="E39" s="119"/>
      <c r="F39" s="120"/>
      <c r="G39" s="125">
        <f>(((A39-Hoja5!F29)/Hoja5!G29)*15)+100</f>
        <v>60.0617284</v>
      </c>
    </row>
    <row r="40" ht="12.0" customHeight="1">
      <c r="A40" s="126"/>
      <c r="B40" s="126"/>
      <c r="C40" s="126"/>
      <c r="D40" s="126"/>
      <c r="E40" s="126"/>
      <c r="F40" s="126"/>
      <c r="G40" s="127"/>
    </row>
    <row r="41" ht="13.5" customHeight="1">
      <c r="A41" s="134" t="s">
        <v>14</v>
      </c>
      <c r="B41" s="126"/>
      <c r="C41" s="126"/>
      <c r="D41" s="126"/>
      <c r="E41" s="135">
        <f>SUM(A44+A47)</f>
        <v>29</v>
      </c>
      <c r="F41" s="126"/>
      <c r="G41" s="136">
        <f>(((E41-Hoja5!F16)/Hoja5!G16)*15)+100</f>
        <v>39.02173913</v>
      </c>
    </row>
    <row r="42" ht="12.75" customHeight="1">
      <c r="A42" s="126"/>
      <c r="B42" s="126"/>
      <c r="C42" s="126"/>
      <c r="D42" s="126"/>
      <c r="E42" s="126"/>
      <c r="F42" s="126"/>
      <c r="G42" s="125"/>
    </row>
    <row r="43" ht="12.75" customHeight="1">
      <c r="A43" s="128" t="s">
        <v>15</v>
      </c>
      <c r="B43" s="129"/>
      <c r="C43" s="129"/>
      <c r="D43" s="129"/>
      <c r="E43" s="129"/>
      <c r="F43" s="130"/>
      <c r="G43" s="127"/>
    </row>
    <row r="44" ht="12.75" customHeight="1">
      <c r="A44" s="137">
        <f>Hoja1!B44</f>
        <v>16</v>
      </c>
      <c r="B44" s="119"/>
      <c r="C44" s="119"/>
      <c r="D44" s="119"/>
      <c r="E44" s="119"/>
      <c r="F44" s="120"/>
      <c r="G44" s="125">
        <f>(((A44-Hoja5!F30)/Hoja5!G30)*15)+100</f>
        <v>53.03191489</v>
      </c>
    </row>
    <row r="45" ht="12.0" customHeight="1">
      <c r="A45" s="138"/>
      <c r="B45" s="126"/>
      <c r="C45" s="126"/>
      <c r="D45" s="126"/>
      <c r="E45" s="126"/>
      <c r="F45" s="126"/>
      <c r="G45" s="127"/>
    </row>
    <row r="46" ht="12.75" customHeight="1">
      <c r="A46" s="128" t="s">
        <v>16</v>
      </c>
      <c r="B46" s="129"/>
      <c r="C46" s="129"/>
      <c r="D46" s="129"/>
      <c r="E46" s="129"/>
      <c r="F46" s="130"/>
      <c r="G46" s="127"/>
    </row>
    <row r="47" ht="12.75" customHeight="1">
      <c r="A47" s="137">
        <f>Hoja1!B47</f>
        <v>13</v>
      </c>
      <c r="B47" s="119"/>
      <c r="C47" s="119"/>
      <c r="D47" s="119"/>
      <c r="E47" s="119"/>
      <c r="F47" s="120"/>
      <c r="G47" s="125">
        <f>(((A47-Hoja5!F31)/Hoja5!G31)*15)+100</f>
        <v>42.47779751</v>
      </c>
    </row>
    <row r="48" ht="12.0" customHeight="1">
      <c r="A48" s="126"/>
      <c r="B48" s="126"/>
      <c r="C48" s="126"/>
      <c r="D48" s="126"/>
      <c r="E48" s="126"/>
      <c r="F48" s="126"/>
      <c r="G48" s="127"/>
    </row>
    <row r="49" ht="13.5" customHeight="1">
      <c r="A49" s="134" t="s">
        <v>17</v>
      </c>
      <c r="B49" s="126"/>
      <c r="C49" s="126"/>
      <c r="D49" s="126"/>
      <c r="E49" s="135">
        <f>SUM(A52+A55)</f>
        <v>42</v>
      </c>
      <c r="F49" s="126"/>
      <c r="G49" s="136">
        <f>(((E49-Hoja5!F17)/Hoja5!G17)*15)+100</f>
        <v>51.08695652</v>
      </c>
    </row>
    <row r="50" ht="13.5" customHeight="1">
      <c r="A50" s="126"/>
      <c r="B50" s="126"/>
      <c r="C50" s="126"/>
      <c r="D50" s="126"/>
      <c r="E50" s="126"/>
      <c r="F50" s="126"/>
      <c r="G50" s="125"/>
      <c r="H50" s="134" t="s">
        <v>19</v>
      </c>
    </row>
    <row r="51" ht="12.75" customHeight="1">
      <c r="A51" s="128" t="s">
        <v>18</v>
      </c>
      <c r="B51" s="129"/>
      <c r="C51" s="129"/>
      <c r="D51" s="129"/>
      <c r="E51" s="129"/>
      <c r="F51" s="130"/>
      <c r="G51" s="139"/>
      <c r="H51" s="140" t="s">
        <v>120</v>
      </c>
      <c r="I51" s="14"/>
      <c r="J51" s="15"/>
      <c r="K51" s="141" t="s">
        <v>119</v>
      </c>
    </row>
    <row r="52" ht="12.75" customHeight="1">
      <c r="A52" s="137">
        <f>Hoja1!B52</f>
        <v>24</v>
      </c>
      <c r="B52" s="119"/>
      <c r="C52" s="119"/>
      <c r="D52" s="119"/>
      <c r="E52" s="119"/>
      <c r="F52" s="120"/>
      <c r="G52" s="142">
        <f>(((A52-Hoja5!F32)/Hoja5!G32)*15)+100</f>
        <v>60.58479532</v>
      </c>
      <c r="H52" s="143">
        <f>Hoja1!G54</f>
        <v>15</v>
      </c>
      <c r="I52" s="14"/>
      <c r="J52" s="15"/>
      <c r="K52" s="144">
        <f>((('Plantilla de Correción'!BE62-Hoja5!F8)/Hoja5!G8)*15)+100</f>
        <v>42.40566038</v>
      </c>
    </row>
    <row r="53" ht="12.0" customHeight="1">
      <c r="A53" s="138"/>
      <c r="B53" s="126"/>
      <c r="C53" s="126"/>
      <c r="D53" s="126"/>
      <c r="E53" s="126"/>
      <c r="F53" s="126"/>
      <c r="G53" s="127"/>
      <c r="H53" s="145"/>
      <c r="I53" s="145"/>
      <c r="J53" s="145"/>
      <c r="K53" s="139"/>
    </row>
    <row r="54" ht="12.75" customHeight="1">
      <c r="A54" s="146" t="s">
        <v>21</v>
      </c>
      <c r="B54" s="147"/>
      <c r="C54" s="147"/>
      <c r="D54" s="147"/>
      <c r="E54" s="147"/>
      <c r="F54" s="148"/>
      <c r="G54" s="139"/>
      <c r="H54" s="140" t="s">
        <v>22</v>
      </c>
      <c r="I54" s="14"/>
      <c r="J54" s="15"/>
      <c r="K54" s="149"/>
    </row>
    <row r="55" ht="12.75" customHeight="1">
      <c r="A55" s="150">
        <f>Hoja1!B55</f>
        <v>18</v>
      </c>
      <c r="B55" s="14"/>
      <c r="C55" s="14"/>
      <c r="D55" s="14"/>
      <c r="E55" s="14"/>
      <c r="F55" s="151"/>
      <c r="G55" s="152">
        <f>(((A55-Hoja5!F33)/Hoja5!G33)*15)+100</f>
        <v>49.61883408</v>
      </c>
      <c r="H55" s="143">
        <f>Hoja1!G57</f>
        <v>33</v>
      </c>
      <c r="I55" s="14"/>
      <c r="J55" s="15"/>
      <c r="K55" s="153">
        <f>((('Plantilla de Correción'!BE65-Hoja5!F9)/Hoja5!G9)*15)+100</f>
        <v>62.46478873</v>
      </c>
    </row>
    <row r="56" ht="12.0" customHeight="1">
      <c r="A56" s="10"/>
      <c r="B56" s="10"/>
      <c r="C56" s="10"/>
      <c r="D56" s="10"/>
      <c r="E56" s="10"/>
      <c r="F56" s="10"/>
      <c r="G56" s="25"/>
      <c r="H56" s="10"/>
    </row>
    <row r="57" ht="12.0" customHeight="1">
      <c r="C57" s="10"/>
      <c r="D57" s="10"/>
      <c r="E57" s="10"/>
      <c r="F57" s="10"/>
      <c r="G57" s="10"/>
      <c r="H57" s="10"/>
      <c r="I57" s="25"/>
      <c r="J57" s="10"/>
    </row>
    <row r="58" ht="12.0" customHeight="1">
      <c r="C58" s="10"/>
      <c r="D58" s="10"/>
      <c r="E58" s="10"/>
      <c r="F58" s="10"/>
      <c r="G58" s="10"/>
      <c r="H58" s="10"/>
      <c r="I58" s="154"/>
      <c r="J58" s="10"/>
    </row>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32">
    <mergeCell ref="A4:F4"/>
    <mergeCell ref="A5:F5"/>
    <mergeCell ref="A7:F7"/>
    <mergeCell ref="A10:F10"/>
    <mergeCell ref="A13:F13"/>
    <mergeCell ref="A14:F14"/>
    <mergeCell ref="A16:F16"/>
    <mergeCell ref="A17:F17"/>
    <mergeCell ref="A21:F21"/>
    <mergeCell ref="A22:F22"/>
    <mergeCell ref="A24:F24"/>
    <mergeCell ref="A25:F25"/>
    <mergeCell ref="A27:F27"/>
    <mergeCell ref="A28:F28"/>
    <mergeCell ref="A32:F32"/>
    <mergeCell ref="A33:F33"/>
    <mergeCell ref="A35:F35"/>
    <mergeCell ref="A36:F36"/>
    <mergeCell ref="A38:F38"/>
    <mergeCell ref="A39:F39"/>
    <mergeCell ref="A43:F43"/>
    <mergeCell ref="A54:F54"/>
    <mergeCell ref="H54:J54"/>
    <mergeCell ref="A55:F55"/>
    <mergeCell ref="H55:J55"/>
    <mergeCell ref="A44:F44"/>
    <mergeCell ref="A46:F46"/>
    <mergeCell ref="A47:F47"/>
    <mergeCell ref="A51:F51"/>
    <mergeCell ref="H51:J51"/>
    <mergeCell ref="A52:F52"/>
    <mergeCell ref="H52:J5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9.71"/>
    <col customWidth="1" min="10" max="18" width="10.0"/>
    <col customWidth="1" min="19" max="20" width="8.71"/>
    <col customWidth="1" min="21" max="31" width="6.71"/>
    <col customWidth="1" min="32" max="33" width="10.0"/>
    <col customWidth="1" min="34" max="34" width="19.43"/>
    <col customWidth="1" min="35" max="40" width="7.71"/>
    <col customWidth="1" min="41" max="41" width="9.71"/>
    <col customWidth="1" min="42" max="48" width="6.71"/>
    <col customWidth="1" min="49" max="61" width="10.0"/>
  </cols>
  <sheetData>
    <row r="1" ht="12.75" customHeight="1">
      <c r="A1" s="155" t="s">
        <v>86</v>
      </c>
      <c r="B1" s="156" t="s">
        <v>87</v>
      </c>
      <c r="C1" s="54" t="s">
        <v>88</v>
      </c>
      <c r="D1" s="155" t="s">
        <v>86</v>
      </c>
      <c r="E1" s="156" t="s">
        <v>87</v>
      </c>
      <c r="F1" s="54" t="s">
        <v>88</v>
      </c>
      <c r="G1" s="155" t="s">
        <v>86</v>
      </c>
      <c r="H1" s="156" t="s">
        <v>87</v>
      </c>
      <c r="I1" s="54" t="s">
        <v>88</v>
      </c>
      <c r="AM1" s="110" t="s">
        <v>119</v>
      </c>
    </row>
    <row r="2" ht="19.5" customHeight="1">
      <c r="A2" s="55">
        <v>1.0</v>
      </c>
      <c r="B2" s="55"/>
      <c r="C2" s="55"/>
      <c r="D2" s="56"/>
      <c r="E2" s="56"/>
      <c r="F2" s="56"/>
      <c r="G2" s="56"/>
      <c r="H2" s="56"/>
      <c r="I2" s="56"/>
      <c r="L2" s="1" t="s">
        <v>0</v>
      </c>
      <c r="P2" s="2">
        <f>SUM(L5+L8+L11+L14+L17)</f>
        <v>128</v>
      </c>
      <c r="V2" s="73" t="s">
        <v>19</v>
      </c>
      <c r="AG2" s="111" t="s">
        <v>24</v>
      </c>
      <c r="AH2" s="112"/>
      <c r="AI2" s="112"/>
      <c r="AJ2" s="112"/>
      <c r="AK2" s="113"/>
      <c r="AL2" s="114">
        <f>SUM(AG5+AG8+AG11+AG14+AG17)</f>
        <v>128</v>
      </c>
      <c r="AM2" s="115">
        <f>(((AL2-BH13)/BI13)*15)+100</f>
        <v>78.96922325</v>
      </c>
      <c r="BD2" s="27" t="s">
        <v>41</v>
      </c>
    </row>
    <row r="3" ht="13.5" customHeight="1">
      <c r="A3" s="155">
        <v>1.0</v>
      </c>
      <c r="B3" s="157">
        <v>5.0</v>
      </c>
      <c r="C3" s="158">
        <f>0+B3</f>
        <v>5</v>
      </c>
      <c r="D3" s="155">
        <v>56.0</v>
      </c>
      <c r="E3" s="159">
        <v>3.0</v>
      </c>
      <c r="F3" s="158">
        <f>6-E3</f>
        <v>3</v>
      </c>
      <c r="G3" s="155">
        <f>SUM($A$2+D57)</f>
        <v>111</v>
      </c>
      <c r="H3" s="159">
        <v>3.0</v>
      </c>
      <c r="I3" s="158">
        <f>6-H3</f>
        <v>3</v>
      </c>
      <c r="AM3" s="16"/>
      <c r="AO3" s="116" t="s">
        <v>23</v>
      </c>
      <c r="AP3" s="116"/>
      <c r="AQ3" s="117" t="s">
        <v>119</v>
      </c>
    </row>
    <row r="4" ht="12.75" customHeight="1">
      <c r="A4" s="155">
        <f t="shared" ref="A4:A57" si="1">SUM($A$2+A3)</f>
        <v>2</v>
      </c>
      <c r="B4" s="159">
        <v>3.0</v>
      </c>
      <c r="C4" s="158">
        <f>6-B4</f>
        <v>3</v>
      </c>
      <c r="D4" s="155">
        <f t="shared" ref="D4:D57" si="2">SUM($A$2+D3)</f>
        <v>57</v>
      </c>
      <c r="E4" s="159">
        <v>1.0</v>
      </c>
      <c r="F4" s="158">
        <f>0+E4</f>
        <v>1</v>
      </c>
      <c r="G4" s="155">
        <f t="shared" ref="G4:G25" si="3">SUM($A$2+G3)</f>
        <v>112</v>
      </c>
      <c r="H4" s="159">
        <v>5.0</v>
      </c>
      <c r="I4" s="158">
        <f t="shared" ref="I4:I7" si="4">0+H4</f>
        <v>5</v>
      </c>
      <c r="L4" s="3" t="s">
        <v>1</v>
      </c>
      <c r="M4" s="4"/>
      <c r="N4" s="5"/>
      <c r="AG4" s="118" t="s">
        <v>1</v>
      </c>
      <c r="AH4" s="119"/>
      <c r="AI4" s="119"/>
      <c r="AJ4" s="119"/>
      <c r="AK4" s="119"/>
      <c r="AL4" s="120"/>
      <c r="AM4" s="121"/>
      <c r="AO4" s="122">
        <f>SUM(AL2+AL19+AK30+AK41+AK49)-(C13+C22+C25+C33+C37+F9+F35+F55)</f>
        <v>402</v>
      </c>
      <c r="AP4" s="122"/>
      <c r="AQ4" s="123">
        <f>(((AO4-BH12)/BI12)*15)+100</f>
        <v>81.00320064</v>
      </c>
      <c r="BD4" s="27" t="s">
        <v>42</v>
      </c>
    </row>
    <row r="5" ht="12.75" customHeight="1">
      <c r="A5" s="155">
        <f t="shared" si="1"/>
        <v>3</v>
      </c>
      <c r="B5" s="159">
        <v>4.0</v>
      </c>
      <c r="C5" s="158">
        <f>B5</f>
        <v>4</v>
      </c>
      <c r="D5" s="155">
        <f t="shared" si="2"/>
        <v>58</v>
      </c>
      <c r="E5" s="159">
        <v>6.0</v>
      </c>
      <c r="F5" s="158">
        <f t="shared" ref="F5:F6" si="5">6-E5</f>
        <v>0</v>
      </c>
      <c r="G5" s="155">
        <f t="shared" si="3"/>
        <v>113</v>
      </c>
      <c r="H5" s="159">
        <v>5.0</v>
      </c>
      <c r="I5" s="158">
        <f t="shared" si="4"/>
        <v>5</v>
      </c>
      <c r="K5" s="6"/>
      <c r="L5" s="7">
        <f>SUM(C9+C11+C25+C37+C54+F10+F35+I8)</f>
        <v>27</v>
      </c>
      <c r="M5" s="8"/>
      <c r="N5" s="9"/>
      <c r="AG5" s="124">
        <f>L5</f>
        <v>27</v>
      </c>
      <c r="AH5" s="119"/>
      <c r="AI5" s="119"/>
      <c r="AJ5" s="119"/>
      <c r="AK5" s="119"/>
      <c r="AL5" s="120"/>
      <c r="AM5" s="125">
        <f>(((AG5-BH19)/BI19)*15)+100</f>
        <v>92.07386364</v>
      </c>
      <c r="BD5" s="27" t="s">
        <v>43</v>
      </c>
      <c r="BH5" s="27" t="s">
        <v>44</v>
      </c>
      <c r="BI5" s="27" t="s">
        <v>45</v>
      </c>
    </row>
    <row r="6" ht="12.0" customHeight="1">
      <c r="A6" s="155">
        <f t="shared" si="1"/>
        <v>4</v>
      </c>
      <c r="B6" s="159">
        <v>0.0</v>
      </c>
      <c r="C6" s="158">
        <f t="shared" ref="C6:C11" si="6">0+B6</f>
        <v>0</v>
      </c>
      <c r="D6" s="155">
        <f t="shared" si="2"/>
        <v>59</v>
      </c>
      <c r="E6" s="159">
        <v>4.0</v>
      </c>
      <c r="F6" s="158">
        <f t="shared" si="5"/>
        <v>2</v>
      </c>
      <c r="G6" s="155">
        <f t="shared" si="3"/>
        <v>114</v>
      </c>
      <c r="H6" s="159">
        <v>3.0</v>
      </c>
      <c r="I6" s="158">
        <f t="shared" si="4"/>
        <v>3</v>
      </c>
      <c r="L6" s="10"/>
      <c r="M6" s="10"/>
      <c r="N6" s="10"/>
      <c r="AG6" s="126"/>
      <c r="AH6" s="126"/>
      <c r="AI6" s="126"/>
      <c r="AJ6" s="126"/>
      <c r="AK6" s="126"/>
      <c r="AL6" s="126"/>
      <c r="AM6" s="127"/>
      <c r="AV6" s="13" t="s">
        <v>23</v>
      </c>
      <c r="AW6" s="14"/>
      <c r="AX6" s="14"/>
      <c r="AY6" s="15"/>
      <c r="AZ6" s="16"/>
      <c r="BA6" s="17">
        <f>AQ4</f>
        <v>81.00320064</v>
      </c>
      <c r="BD6" s="27" t="s">
        <v>46</v>
      </c>
      <c r="BH6" s="27" t="s">
        <v>47</v>
      </c>
      <c r="BI6" s="27" t="s">
        <v>48</v>
      </c>
    </row>
    <row r="7" ht="12.75" customHeight="1">
      <c r="A7" s="155">
        <f t="shared" si="1"/>
        <v>5</v>
      </c>
      <c r="B7" s="159">
        <v>4.0</v>
      </c>
      <c r="C7" s="158">
        <f t="shared" si="6"/>
        <v>4</v>
      </c>
      <c r="D7" s="155">
        <f t="shared" si="2"/>
        <v>60</v>
      </c>
      <c r="E7" s="159">
        <v>3.0</v>
      </c>
      <c r="F7" s="158">
        <f t="shared" ref="F7:F10" si="7">0+E7</f>
        <v>3</v>
      </c>
      <c r="G7" s="155">
        <f t="shared" si="3"/>
        <v>115</v>
      </c>
      <c r="H7" s="159">
        <v>1.0</v>
      </c>
      <c r="I7" s="158">
        <f t="shared" si="4"/>
        <v>1</v>
      </c>
      <c r="L7" s="3" t="s">
        <v>2</v>
      </c>
      <c r="M7" s="4"/>
      <c r="N7" s="5"/>
      <c r="AG7" s="128" t="s">
        <v>2</v>
      </c>
      <c r="AH7" s="129"/>
      <c r="AI7" s="129"/>
      <c r="AJ7" s="129"/>
      <c r="AK7" s="129"/>
      <c r="AL7" s="130"/>
      <c r="AM7" s="127"/>
      <c r="AV7" s="18" t="s">
        <v>24</v>
      </c>
      <c r="AW7" s="14"/>
      <c r="AX7" s="14"/>
      <c r="AY7" s="15"/>
      <c r="AZ7" s="16"/>
      <c r="BA7" s="19">
        <f>AM2</f>
        <v>78.96922325</v>
      </c>
    </row>
    <row r="8" ht="12.75" customHeight="1">
      <c r="A8" s="155">
        <f t="shared" si="1"/>
        <v>6</v>
      </c>
      <c r="B8" s="159">
        <v>4.0</v>
      </c>
      <c r="C8" s="158">
        <f t="shared" si="6"/>
        <v>4</v>
      </c>
      <c r="D8" s="155">
        <f t="shared" si="2"/>
        <v>61</v>
      </c>
      <c r="E8" s="159">
        <v>4.0</v>
      </c>
      <c r="F8" s="158">
        <f t="shared" si="7"/>
        <v>4</v>
      </c>
      <c r="G8" s="155">
        <f t="shared" si="3"/>
        <v>116</v>
      </c>
      <c r="H8" s="159">
        <v>2.0</v>
      </c>
      <c r="I8" s="158">
        <f t="shared" ref="I8:I10" si="8">6-H8</f>
        <v>4</v>
      </c>
      <c r="L8" s="7">
        <f>SUM(C24+C39+F14+F29+F43+I3+I18)</f>
        <v>19</v>
      </c>
      <c r="M8" s="8"/>
      <c r="N8" s="9"/>
      <c r="V8" s="72"/>
      <c r="AG8" s="131">
        <f>L8</f>
        <v>19</v>
      </c>
      <c r="AH8" s="132"/>
      <c r="AI8" s="132"/>
      <c r="AJ8" s="132"/>
      <c r="AK8" s="132"/>
      <c r="AL8" s="133"/>
      <c r="AM8" s="125">
        <f>(((AG8-BH20)/BI20)*15)+100</f>
        <v>78.0472103</v>
      </c>
      <c r="AV8" s="20" t="s">
        <v>25</v>
      </c>
      <c r="AW8" s="14"/>
      <c r="AX8" s="14"/>
      <c r="AY8" s="15"/>
      <c r="AZ8" s="21"/>
      <c r="BA8" s="22">
        <f>AM5</f>
        <v>92.07386364</v>
      </c>
      <c r="BD8" s="27" t="s">
        <v>49</v>
      </c>
      <c r="BH8" s="28">
        <v>20.35</v>
      </c>
      <c r="BI8" s="28">
        <v>5.3</v>
      </c>
    </row>
    <row r="9" ht="12.0" customHeight="1">
      <c r="A9" s="155">
        <f t="shared" si="1"/>
        <v>7</v>
      </c>
      <c r="B9" s="159">
        <v>4.0</v>
      </c>
      <c r="C9" s="158">
        <f t="shared" si="6"/>
        <v>4</v>
      </c>
      <c r="D9" s="155">
        <f t="shared" si="2"/>
        <v>62</v>
      </c>
      <c r="E9" s="159">
        <v>3.0</v>
      </c>
      <c r="F9" s="158">
        <f t="shared" si="7"/>
        <v>3</v>
      </c>
      <c r="G9" s="155">
        <f t="shared" si="3"/>
        <v>117</v>
      </c>
      <c r="H9" s="159">
        <v>2.0</v>
      </c>
      <c r="I9" s="158">
        <f t="shared" si="8"/>
        <v>4</v>
      </c>
      <c r="L9" s="10"/>
      <c r="M9" s="10"/>
      <c r="N9" s="10"/>
      <c r="V9" s="74" t="s">
        <v>92</v>
      </c>
      <c r="AG9" s="126"/>
      <c r="AH9" s="126"/>
      <c r="AI9" s="126"/>
      <c r="AJ9" s="126"/>
      <c r="AK9" s="126"/>
      <c r="AL9" s="126"/>
      <c r="AM9" s="127"/>
      <c r="AV9" s="20" t="s">
        <v>26</v>
      </c>
      <c r="AW9" s="14"/>
      <c r="AX9" s="14"/>
      <c r="AY9" s="15"/>
      <c r="AZ9" s="21"/>
      <c r="BA9" s="22">
        <f>AM8</f>
        <v>78.0472103</v>
      </c>
      <c r="BD9" s="27" t="s">
        <v>50</v>
      </c>
      <c r="BH9" s="28">
        <v>10.66</v>
      </c>
      <c r="BI9" s="28">
        <v>4.26</v>
      </c>
    </row>
    <row r="10" ht="12.75" customHeight="1">
      <c r="A10" s="155">
        <f t="shared" si="1"/>
        <v>8</v>
      </c>
      <c r="B10" s="159">
        <v>5.0</v>
      </c>
      <c r="C10" s="158">
        <f t="shared" si="6"/>
        <v>5</v>
      </c>
      <c r="D10" s="155">
        <f t="shared" si="2"/>
        <v>63</v>
      </c>
      <c r="E10" s="159">
        <v>5.0</v>
      </c>
      <c r="F10" s="158">
        <f t="shared" si="7"/>
        <v>5</v>
      </c>
      <c r="G10" s="155">
        <f t="shared" si="3"/>
        <v>118</v>
      </c>
      <c r="H10" s="159">
        <v>3.0</v>
      </c>
      <c r="I10" s="158">
        <f t="shared" si="8"/>
        <v>3</v>
      </c>
      <c r="L10" s="3" t="s">
        <v>3</v>
      </c>
      <c r="M10" s="4"/>
      <c r="N10" s="5"/>
      <c r="T10" s="75" t="s">
        <v>93</v>
      </c>
      <c r="U10" s="76">
        <f>B13</f>
        <v>1</v>
      </c>
      <c r="V10" s="76">
        <f>B26</f>
        <v>1</v>
      </c>
      <c r="W10" s="76">
        <f>B42</f>
        <v>4</v>
      </c>
      <c r="X10" s="76">
        <f>E3</f>
        <v>3</v>
      </c>
      <c r="Y10" s="76">
        <f>E17</f>
        <v>5</v>
      </c>
      <c r="Z10" s="76">
        <f>E32</f>
        <v>1</v>
      </c>
      <c r="AA10" s="76">
        <f>E47</f>
        <v>1</v>
      </c>
      <c r="AB10" s="76">
        <f>H6</f>
        <v>3</v>
      </c>
      <c r="AC10" s="76">
        <f>H21</f>
        <v>3</v>
      </c>
      <c r="AD10" s="26"/>
      <c r="AE10" s="72"/>
      <c r="AF10" s="72"/>
      <c r="AG10" s="128" t="s">
        <v>3</v>
      </c>
      <c r="AH10" s="129"/>
      <c r="AI10" s="129"/>
      <c r="AJ10" s="129"/>
      <c r="AK10" s="129"/>
      <c r="AL10" s="130"/>
      <c r="AM10" s="127"/>
      <c r="AV10" s="20" t="s">
        <v>27</v>
      </c>
      <c r="AW10" s="14"/>
      <c r="AX10" s="14"/>
      <c r="AY10" s="15"/>
      <c r="AZ10" s="21"/>
      <c r="BA10" s="22">
        <f>AM11</f>
        <v>67.19047619</v>
      </c>
      <c r="BD10" s="27" t="s">
        <v>51</v>
      </c>
      <c r="BH10" s="28">
        <v>5.32</v>
      </c>
      <c r="BI10" s="28">
        <v>2.89</v>
      </c>
    </row>
    <row r="11" ht="12.75" customHeight="1">
      <c r="A11" s="155">
        <f t="shared" si="1"/>
        <v>9</v>
      </c>
      <c r="B11" s="159">
        <v>4.0</v>
      </c>
      <c r="C11" s="158">
        <f t="shared" si="6"/>
        <v>4</v>
      </c>
      <c r="D11" s="155">
        <f t="shared" si="2"/>
        <v>64</v>
      </c>
      <c r="E11" s="159">
        <v>2.0</v>
      </c>
      <c r="F11" s="158">
        <f>6-E11</f>
        <v>4</v>
      </c>
      <c r="G11" s="155">
        <f t="shared" si="3"/>
        <v>119</v>
      </c>
      <c r="H11" s="159">
        <v>4.0</v>
      </c>
      <c r="I11" s="158">
        <f t="shared" ref="I11:I12" si="9">0+H11</f>
        <v>4</v>
      </c>
      <c r="L11" s="7">
        <f>SUM(C13+C26+C42+F3+F17+F32+F47+I6+I21)</f>
        <v>22</v>
      </c>
      <c r="M11" s="8"/>
      <c r="N11" s="9"/>
      <c r="T11" s="75" t="s">
        <v>94</v>
      </c>
      <c r="U11" s="76">
        <f>B8</f>
        <v>4</v>
      </c>
      <c r="V11" s="76">
        <f>B23</f>
        <v>2</v>
      </c>
      <c r="W11" s="76">
        <f>B38</f>
        <v>3</v>
      </c>
      <c r="X11" s="76">
        <f>B53</f>
        <v>3</v>
      </c>
      <c r="Y11" s="76">
        <f>E13</f>
        <v>2</v>
      </c>
      <c r="Z11" s="76">
        <f>E30</f>
        <v>2</v>
      </c>
      <c r="AA11" s="76">
        <f>E42</f>
        <v>3</v>
      </c>
      <c r="AB11" s="76">
        <f>E57</f>
        <v>5</v>
      </c>
      <c r="AC11" s="76">
        <f>E17</f>
        <v>5</v>
      </c>
      <c r="AD11" s="26"/>
      <c r="AG11" s="131">
        <f>L11</f>
        <v>22</v>
      </c>
      <c r="AH11" s="132"/>
      <c r="AI11" s="132"/>
      <c r="AJ11" s="132"/>
      <c r="AK11" s="132"/>
      <c r="AL11" s="133"/>
      <c r="AM11" s="125">
        <f>(((AG11-BH21)/BI21)*15)+100</f>
        <v>67.19047619</v>
      </c>
      <c r="AV11" s="20" t="s">
        <v>28</v>
      </c>
      <c r="AW11" s="14"/>
      <c r="AX11" s="14"/>
      <c r="AY11" s="15"/>
      <c r="AZ11" s="21"/>
      <c r="BA11" s="22">
        <f>AM14</f>
        <v>86.03550296</v>
      </c>
      <c r="BH11" s="28"/>
      <c r="BI11" s="28"/>
    </row>
    <row r="12" ht="12.0" customHeight="1">
      <c r="A12" s="155">
        <f t="shared" si="1"/>
        <v>10</v>
      </c>
      <c r="B12" s="159">
        <v>3.0</v>
      </c>
      <c r="C12" s="158">
        <f>6-B12</f>
        <v>3</v>
      </c>
      <c r="D12" s="155">
        <f t="shared" si="2"/>
        <v>65</v>
      </c>
      <c r="E12" s="159">
        <v>3.0</v>
      </c>
      <c r="F12" s="158">
        <f>0+E12</f>
        <v>3</v>
      </c>
      <c r="G12" s="155">
        <f t="shared" si="3"/>
        <v>120</v>
      </c>
      <c r="H12" s="159">
        <v>5.0</v>
      </c>
      <c r="I12" s="158">
        <f t="shared" si="9"/>
        <v>5</v>
      </c>
      <c r="L12" s="10"/>
      <c r="M12" s="10"/>
      <c r="N12" s="10"/>
      <c r="T12" s="75" t="s">
        <v>95</v>
      </c>
      <c r="U12" s="76">
        <f>B12</f>
        <v>3</v>
      </c>
      <c r="V12" s="76">
        <f>B25</f>
        <v>4</v>
      </c>
      <c r="W12" s="76">
        <f>B33</f>
        <v>2</v>
      </c>
      <c r="X12" s="76">
        <f>B41</f>
        <v>4</v>
      </c>
      <c r="Y12" s="76">
        <f>B57</f>
        <v>3</v>
      </c>
      <c r="Z12" s="76">
        <f>E9</f>
        <v>3</v>
      </c>
      <c r="AA12" s="76">
        <f>E16</f>
        <v>2</v>
      </c>
      <c r="AB12" s="76">
        <f>E31</f>
        <v>3</v>
      </c>
      <c r="AC12" s="76">
        <f>E46</f>
        <v>4</v>
      </c>
      <c r="AD12" s="76">
        <f>H5</f>
        <v>5</v>
      </c>
      <c r="AE12" s="160">
        <f>H20</f>
        <v>3</v>
      </c>
      <c r="AG12" s="126"/>
      <c r="AH12" s="126"/>
      <c r="AI12" s="126"/>
      <c r="AJ12" s="126"/>
      <c r="AK12" s="126"/>
      <c r="AL12" s="126"/>
      <c r="AM12" s="127"/>
      <c r="AV12" s="20" t="s">
        <v>29</v>
      </c>
      <c r="AW12" s="14"/>
      <c r="AX12" s="14"/>
      <c r="AY12" s="15"/>
      <c r="AZ12" s="21"/>
      <c r="BA12" s="22">
        <f>AM17</f>
        <v>98.76116071</v>
      </c>
      <c r="BD12" s="27" t="s">
        <v>52</v>
      </c>
      <c r="BH12" s="28">
        <v>465.31</v>
      </c>
      <c r="BI12" s="28">
        <v>49.99</v>
      </c>
    </row>
    <row r="13" ht="12.75" customHeight="1">
      <c r="A13" s="155">
        <f t="shared" si="1"/>
        <v>11</v>
      </c>
      <c r="B13" s="159">
        <v>1.0</v>
      </c>
      <c r="C13" s="158">
        <f t="shared" ref="C13:C14" si="10">0+B13</f>
        <v>1</v>
      </c>
      <c r="D13" s="155">
        <f t="shared" si="2"/>
        <v>66</v>
      </c>
      <c r="E13" s="159">
        <v>2.0</v>
      </c>
      <c r="F13" s="158">
        <f>6-E13</f>
        <v>4</v>
      </c>
      <c r="G13" s="155">
        <f t="shared" si="3"/>
        <v>121</v>
      </c>
      <c r="H13" s="159">
        <v>5.0</v>
      </c>
      <c r="I13" s="158">
        <f t="shared" ref="I13:I14" si="11">6-H13</f>
        <v>1</v>
      </c>
      <c r="L13" s="3" t="s">
        <v>4</v>
      </c>
      <c r="M13" s="4"/>
      <c r="N13" s="5"/>
      <c r="T13" s="75" t="s">
        <v>96</v>
      </c>
      <c r="U13" s="76">
        <f>B18</f>
        <v>4</v>
      </c>
      <c r="V13" s="76">
        <f>B32</f>
        <v>3</v>
      </c>
      <c r="W13" s="76">
        <f>B48</f>
        <v>2</v>
      </c>
      <c r="X13" s="76">
        <f>E8</f>
        <v>4</v>
      </c>
      <c r="Y13" s="76">
        <f>E19</f>
        <v>4</v>
      </c>
      <c r="Z13" s="76">
        <f>E23</f>
        <v>3</v>
      </c>
      <c r="AA13" s="76">
        <f>E37</f>
        <v>4</v>
      </c>
      <c r="AB13" s="76">
        <f>E45</f>
        <v>4</v>
      </c>
      <c r="AC13" s="76">
        <f>E51</f>
        <v>4</v>
      </c>
      <c r="AD13" s="76">
        <f>H11</f>
        <v>4</v>
      </c>
      <c r="AG13" s="128" t="s">
        <v>4</v>
      </c>
      <c r="AH13" s="129"/>
      <c r="AI13" s="129"/>
      <c r="AJ13" s="129"/>
      <c r="AK13" s="129"/>
      <c r="AL13" s="130"/>
      <c r="AM13" s="127"/>
      <c r="AV13" s="18" t="s">
        <v>6</v>
      </c>
      <c r="AW13" s="14"/>
      <c r="AX13" s="14"/>
      <c r="AY13" s="15"/>
      <c r="AZ13" s="16"/>
      <c r="BA13" s="19">
        <f>AM19</f>
        <v>78.5437788</v>
      </c>
      <c r="BD13" s="27" t="s">
        <v>53</v>
      </c>
      <c r="BH13" s="28">
        <v>156.7</v>
      </c>
      <c r="BI13" s="28">
        <v>20.47</v>
      </c>
    </row>
    <row r="14" ht="12.75" customHeight="1">
      <c r="A14" s="155">
        <f t="shared" si="1"/>
        <v>12</v>
      </c>
      <c r="B14" s="159">
        <v>1.0</v>
      </c>
      <c r="C14" s="158">
        <f t="shared" si="10"/>
        <v>1</v>
      </c>
      <c r="D14" s="155">
        <f t="shared" si="2"/>
        <v>67</v>
      </c>
      <c r="E14" s="159">
        <v>3.0</v>
      </c>
      <c r="F14" s="158">
        <f>0+E14</f>
        <v>3</v>
      </c>
      <c r="G14" s="155">
        <f t="shared" si="3"/>
        <v>122</v>
      </c>
      <c r="H14" s="159">
        <v>2.0</v>
      </c>
      <c r="I14" s="158">
        <f t="shared" si="11"/>
        <v>4</v>
      </c>
      <c r="L14" s="7">
        <f>SUM(C8+C23+C38+C53+F13+F42+F57+F28+I17)</f>
        <v>33</v>
      </c>
      <c r="M14" s="8"/>
      <c r="N14" s="9"/>
      <c r="T14" s="75" t="s">
        <v>97</v>
      </c>
      <c r="U14" s="76">
        <f>B10</f>
        <v>5</v>
      </c>
      <c r="V14" s="76">
        <f>B37</f>
        <v>3</v>
      </c>
      <c r="W14" s="76">
        <f>B40</f>
        <v>2</v>
      </c>
      <c r="X14" s="76">
        <f>B55</f>
        <v>3</v>
      </c>
      <c r="Y14" s="76">
        <f>E15</f>
        <v>3</v>
      </c>
      <c r="Z14" s="76">
        <f>E30</f>
        <v>2</v>
      </c>
      <c r="AA14" s="76">
        <f>E35</f>
        <v>4</v>
      </c>
      <c r="AB14" s="76">
        <f>E44</f>
        <v>2</v>
      </c>
      <c r="AC14" s="76">
        <f>H4</f>
        <v>5</v>
      </c>
      <c r="AD14" s="76">
        <f>H19</f>
        <v>2</v>
      </c>
      <c r="AG14" s="124">
        <f>L14</f>
        <v>33</v>
      </c>
      <c r="AH14" s="119"/>
      <c r="AI14" s="119"/>
      <c r="AJ14" s="119"/>
      <c r="AK14" s="119"/>
      <c r="AL14" s="120"/>
      <c r="AM14" s="125">
        <f>(((AG14-BH22)/BI22)*15)+100</f>
        <v>86.03550296</v>
      </c>
      <c r="AV14" s="20" t="s">
        <v>30</v>
      </c>
      <c r="AW14" s="14"/>
      <c r="AX14" s="14"/>
      <c r="AY14" s="15"/>
      <c r="AZ14" s="21"/>
      <c r="BA14" s="22">
        <f>AM28</f>
        <v>83.85441527</v>
      </c>
      <c r="BD14" s="27" t="s">
        <v>54</v>
      </c>
      <c r="BH14" s="28">
        <v>99.52</v>
      </c>
      <c r="BI14" s="28">
        <v>10.85</v>
      </c>
    </row>
    <row r="15" ht="12.0" customHeight="1">
      <c r="A15" s="155">
        <f t="shared" si="1"/>
        <v>13</v>
      </c>
      <c r="B15" s="159">
        <v>3.0</v>
      </c>
      <c r="C15" s="158">
        <f t="shared" ref="C15:C16" si="12">6-B15</f>
        <v>3</v>
      </c>
      <c r="D15" s="155">
        <f t="shared" si="2"/>
        <v>68</v>
      </c>
      <c r="E15" s="159">
        <v>3.0</v>
      </c>
      <c r="F15" s="158">
        <f t="shared" ref="F15:F17" si="13">6-E15</f>
        <v>3</v>
      </c>
      <c r="G15" s="155">
        <f t="shared" si="3"/>
        <v>123</v>
      </c>
      <c r="H15" s="159">
        <v>4.0</v>
      </c>
      <c r="I15" s="158">
        <f t="shared" ref="I15:I16" si="14">0+H15</f>
        <v>4</v>
      </c>
      <c r="T15" s="75" t="s">
        <v>98</v>
      </c>
      <c r="U15" s="76">
        <f>B6</f>
        <v>0</v>
      </c>
      <c r="V15" s="76">
        <f>B22</f>
        <v>4</v>
      </c>
      <c r="W15" s="76">
        <f>B35</f>
        <v>4</v>
      </c>
      <c r="X15" s="76">
        <f>B51</f>
        <v>2</v>
      </c>
      <c r="Y15" s="76">
        <f>E11</f>
        <v>2</v>
      </c>
      <c r="Z15" s="76">
        <f>E25</f>
        <v>4</v>
      </c>
      <c r="AA15" s="76">
        <f>E40</f>
        <v>2</v>
      </c>
      <c r="AB15" s="76">
        <f>E55</f>
        <v>4</v>
      </c>
      <c r="AC15" s="76">
        <f>H14</f>
        <v>2</v>
      </c>
      <c r="AD15" s="16"/>
      <c r="AG15" s="126"/>
      <c r="AH15" s="126"/>
      <c r="AI15" s="126"/>
      <c r="AJ15" s="126"/>
      <c r="AK15" s="126"/>
      <c r="AL15" s="126"/>
      <c r="AM15" s="127"/>
      <c r="AV15" s="20" t="s">
        <v>31</v>
      </c>
      <c r="AW15" s="14"/>
      <c r="AX15" s="14"/>
      <c r="AY15" s="15"/>
      <c r="AZ15" s="23"/>
      <c r="BA15" s="22">
        <f>AM22</f>
        <v>79.49335548</v>
      </c>
      <c r="BD15" s="27" t="s">
        <v>55</v>
      </c>
      <c r="BH15" s="28">
        <v>100.32</v>
      </c>
      <c r="BI15" s="28">
        <v>12.46</v>
      </c>
    </row>
    <row r="16" ht="12.75" customHeight="1">
      <c r="A16" s="155">
        <f t="shared" si="1"/>
        <v>14</v>
      </c>
      <c r="B16" s="159">
        <v>2.0</v>
      </c>
      <c r="C16" s="158">
        <f t="shared" si="12"/>
        <v>4</v>
      </c>
      <c r="D16" s="155">
        <f t="shared" si="2"/>
        <v>69</v>
      </c>
      <c r="E16" s="159">
        <v>2.0</v>
      </c>
      <c r="F16" s="158">
        <f t="shared" si="13"/>
        <v>4</v>
      </c>
      <c r="G16" s="155">
        <f t="shared" si="3"/>
        <v>124</v>
      </c>
      <c r="H16" s="159">
        <v>1.0</v>
      </c>
      <c r="I16" s="158">
        <f t="shared" si="14"/>
        <v>1</v>
      </c>
      <c r="L16" s="3" t="s">
        <v>5</v>
      </c>
      <c r="M16" s="4"/>
      <c r="N16" s="5"/>
      <c r="T16" s="75" t="s">
        <v>99</v>
      </c>
      <c r="U16" s="76">
        <f>B15</f>
        <v>3</v>
      </c>
      <c r="V16" s="76">
        <f>B29</f>
        <v>2</v>
      </c>
      <c r="W16" s="76">
        <f>B44</f>
        <v>2</v>
      </c>
      <c r="X16" s="76">
        <f>E5</f>
        <v>6</v>
      </c>
      <c r="Y16" s="76">
        <f>E20</f>
        <v>3</v>
      </c>
      <c r="Z16" s="76">
        <f>E33</f>
        <v>2</v>
      </c>
      <c r="AA16" s="76">
        <f>E49</f>
        <v>2</v>
      </c>
      <c r="AB16" s="76">
        <f>H9</f>
        <v>2</v>
      </c>
      <c r="AC16" s="76">
        <f>H22</f>
        <v>1</v>
      </c>
      <c r="AD16" s="16"/>
      <c r="AG16" s="128" t="s">
        <v>5</v>
      </c>
      <c r="AH16" s="129"/>
      <c r="AI16" s="129"/>
      <c r="AJ16" s="129"/>
      <c r="AK16" s="129"/>
      <c r="AL16" s="130"/>
      <c r="AM16" s="127"/>
      <c r="AV16" s="20" t="s">
        <v>32</v>
      </c>
      <c r="AW16" s="14"/>
      <c r="AX16" s="14"/>
      <c r="AY16" s="15"/>
      <c r="AZ16" s="21"/>
      <c r="BA16" s="22">
        <f>AM25</f>
        <v>83.96551724</v>
      </c>
      <c r="BD16" s="27" t="s">
        <v>56</v>
      </c>
      <c r="BH16" s="28">
        <v>68.27</v>
      </c>
      <c r="BI16" s="28">
        <v>9.66</v>
      </c>
    </row>
    <row r="17" ht="12.75" customHeight="1">
      <c r="A17" s="155">
        <f t="shared" si="1"/>
        <v>15</v>
      </c>
      <c r="B17" s="159">
        <v>4.0</v>
      </c>
      <c r="C17" s="158">
        <f t="shared" ref="C17:C18" si="15">0+B17</f>
        <v>4</v>
      </c>
      <c r="D17" s="155">
        <f t="shared" si="2"/>
        <v>70</v>
      </c>
      <c r="E17" s="159">
        <v>5.0</v>
      </c>
      <c r="F17" s="158">
        <f t="shared" si="13"/>
        <v>1</v>
      </c>
      <c r="G17" s="155">
        <f t="shared" si="3"/>
        <v>125</v>
      </c>
      <c r="H17" s="159">
        <v>3.0</v>
      </c>
      <c r="I17" s="158">
        <f t="shared" ref="I17:I20" si="16">6-H17</f>
        <v>3</v>
      </c>
      <c r="L17" s="7">
        <f>SUM(C5+C21+C34+C50+F39+F54+I13)</f>
        <v>27</v>
      </c>
      <c r="M17" s="8"/>
      <c r="N17" s="9"/>
      <c r="T17" s="75" t="s">
        <v>100</v>
      </c>
      <c r="U17" s="78">
        <f>B4</f>
        <v>3</v>
      </c>
      <c r="V17" s="78">
        <f>B19</f>
        <v>3</v>
      </c>
      <c r="W17" s="78">
        <f>B33</f>
        <v>2</v>
      </c>
      <c r="X17" s="78">
        <f>B49</f>
        <v>4</v>
      </c>
      <c r="Y17" s="78">
        <f>E9</f>
        <v>3</v>
      </c>
      <c r="Z17" s="78">
        <f>E24</f>
        <v>4</v>
      </c>
      <c r="AA17" s="78">
        <f>E38</f>
        <v>2</v>
      </c>
      <c r="AB17" s="78">
        <f>E52</f>
        <v>4</v>
      </c>
      <c r="AC17" s="78">
        <f>H12</f>
        <v>5</v>
      </c>
      <c r="AD17" s="16"/>
      <c r="AG17" s="124">
        <f>L17</f>
        <v>27</v>
      </c>
      <c r="AH17" s="119"/>
      <c r="AI17" s="119"/>
      <c r="AJ17" s="119"/>
      <c r="AK17" s="119"/>
      <c r="AL17" s="120"/>
      <c r="AM17" s="125">
        <f>(((AG17-BH23)/BI23)*15)+100</f>
        <v>98.76116071</v>
      </c>
      <c r="AV17" s="18" t="s">
        <v>10</v>
      </c>
      <c r="AW17" s="14"/>
      <c r="AX17" s="14"/>
      <c r="AY17" s="15"/>
      <c r="AZ17" s="24"/>
      <c r="BA17" s="19">
        <f>AM30</f>
        <v>88.78009631</v>
      </c>
      <c r="BD17" s="27" t="s">
        <v>57</v>
      </c>
      <c r="BH17" s="28">
        <v>70.5</v>
      </c>
      <c r="BI17" s="28">
        <v>8.74</v>
      </c>
    </row>
    <row r="18" ht="12.0" customHeight="1">
      <c r="A18" s="155">
        <f t="shared" si="1"/>
        <v>16</v>
      </c>
      <c r="B18" s="159">
        <v>4.0</v>
      </c>
      <c r="C18" s="158">
        <f t="shared" si="15"/>
        <v>4</v>
      </c>
      <c r="D18" s="155">
        <f t="shared" si="2"/>
        <v>71</v>
      </c>
      <c r="E18" s="159">
        <v>1.0</v>
      </c>
      <c r="F18" s="158">
        <f t="shared" ref="F18:F19" si="17">0+E18</f>
        <v>1</v>
      </c>
      <c r="G18" s="155">
        <f t="shared" si="3"/>
        <v>126</v>
      </c>
      <c r="H18" s="159">
        <v>4.0</v>
      </c>
      <c r="I18" s="161">
        <f t="shared" si="16"/>
        <v>2</v>
      </c>
      <c r="AG18" s="126"/>
      <c r="AH18" s="126"/>
      <c r="AI18" s="126"/>
      <c r="AJ18" s="126"/>
      <c r="AK18" s="126"/>
      <c r="AL18" s="126"/>
      <c r="AM18" s="127"/>
      <c r="AV18" s="20" t="s">
        <v>33</v>
      </c>
      <c r="AW18" s="14"/>
      <c r="AX18" s="14"/>
      <c r="AY18" s="15"/>
      <c r="AZ18" s="21"/>
      <c r="BA18" s="22">
        <f>AM33</f>
        <v>84.38043478</v>
      </c>
      <c r="BH18" s="28"/>
      <c r="BI18" s="28"/>
    </row>
    <row r="19" ht="15.75" customHeight="1">
      <c r="A19" s="155">
        <f t="shared" si="1"/>
        <v>17</v>
      </c>
      <c r="B19" s="159">
        <v>3.0</v>
      </c>
      <c r="C19" s="158">
        <f t="shared" ref="C19:C21" si="18">6-B19</f>
        <v>3</v>
      </c>
      <c r="D19" s="155">
        <f t="shared" si="2"/>
        <v>72</v>
      </c>
      <c r="E19" s="159">
        <v>4.0</v>
      </c>
      <c r="F19" s="158">
        <f t="shared" si="17"/>
        <v>4</v>
      </c>
      <c r="G19" s="155">
        <f t="shared" si="3"/>
        <v>127</v>
      </c>
      <c r="H19" s="159">
        <v>2.0</v>
      </c>
      <c r="I19" s="158">
        <f t="shared" si="16"/>
        <v>4</v>
      </c>
      <c r="L19" s="11" t="s">
        <v>6</v>
      </c>
      <c r="P19" s="12">
        <f>SUM(L22+L25+L28)</f>
        <v>103</v>
      </c>
      <c r="Q19" s="2">
        <f>SUM((P19)-(J57+J63+J74+J100+J121))</f>
        <v>103</v>
      </c>
      <c r="AG19" s="134" t="s">
        <v>6</v>
      </c>
      <c r="AH19" s="126"/>
      <c r="AI19" s="126"/>
      <c r="AJ19" s="126"/>
      <c r="AK19" s="135">
        <f>SUM(AG22+AG25+AG28)</f>
        <v>103</v>
      </c>
      <c r="AL19" s="135">
        <f>SUM((AK19)-(C57+F8+F19+F45+I11))</f>
        <v>84</v>
      </c>
      <c r="AM19" s="136">
        <f>(((AL19-BH14)/BI14)*15)+100</f>
        <v>78.5437788</v>
      </c>
      <c r="AV19" s="20" t="s">
        <v>34</v>
      </c>
      <c r="AW19" s="14"/>
      <c r="AX19" s="14"/>
      <c r="AY19" s="15"/>
      <c r="AZ19" s="21"/>
      <c r="BA19" s="22">
        <f>AM36</f>
        <v>98.57526882</v>
      </c>
      <c r="BD19" s="27" t="s">
        <v>58</v>
      </c>
      <c r="BH19" s="28">
        <v>29.79</v>
      </c>
      <c r="BI19" s="28">
        <v>5.28</v>
      </c>
    </row>
    <row r="20" ht="12.75" customHeight="1">
      <c r="A20" s="155">
        <f t="shared" si="1"/>
        <v>18</v>
      </c>
      <c r="B20" s="159">
        <v>1.0</v>
      </c>
      <c r="C20" s="158">
        <f t="shared" si="18"/>
        <v>5</v>
      </c>
      <c r="D20" s="155">
        <f t="shared" si="2"/>
        <v>73</v>
      </c>
      <c r="E20" s="159">
        <v>3.0</v>
      </c>
      <c r="F20" s="158">
        <f>6-E20</f>
        <v>3</v>
      </c>
      <c r="G20" s="155">
        <f t="shared" si="3"/>
        <v>128</v>
      </c>
      <c r="H20" s="159">
        <v>3.0</v>
      </c>
      <c r="I20" s="158">
        <f t="shared" si="16"/>
        <v>3</v>
      </c>
      <c r="V20" s="74" t="s">
        <v>101</v>
      </c>
      <c r="AG20" s="126"/>
      <c r="AH20" s="126"/>
      <c r="AI20" s="126"/>
      <c r="AJ20" s="126"/>
      <c r="AK20" s="126"/>
      <c r="AL20" s="126"/>
      <c r="AM20" s="125"/>
      <c r="AV20" s="20" t="s">
        <v>35</v>
      </c>
      <c r="AW20" s="14"/>
      <c r="AX20" s="14"/>
      <c r="AY20" s="15"/>
      <c r="AZ20" s="21"/>
      <c r="BA20" s="22">
        <f>AM39</f>
        <v>87.83950617</v>
      </c>
      <c r="BD20" s="27" t="s">
        <v>59</v>
      </c>
      <c r="BH20" s="28">
        <v>25.82</v>
      </c>
      <c r="BI20" s="28">
        <v>4.66</v>
      </c>
    </row>
    <row r="21" ht="12.75" customHeight="1">
      <c r="A21" s="155">
        <f t="shared" si="1"/>
        <v>19</v>
      </c>
      <c r="B21" s="159">
        <v>2.0</v>
      </c>
      <c r="C21" s="158">
        <f t="shared" si="18"/>
        <v>4</v>
      </c>
      <c r="D21" s="155">
        <f t="shared" si="2"/>
        <v>74</v>
      </c>
      <c r="E21" s="159">
        <v>3.0</v>
      </c>
      <c r="F21" s="158">
        <f>0+E21</f>
        <v>3</v>
      </c>
      <c r="G21" s="155">
        <f t="shared" si="3"/>
        <v>129</v>
      </c>
      <c r="H21" s="159">
        <v>3.0</v>
      </c>
      <c r="I21" s="158">
        <f>0+H21</f>
        <v>3</v>
      </c>
      <c r="L21" s="3" t="s">
        <v>7</v>
      </c>
      <c r="M21" s="4"/>
      <c r="N21" s="5"/>
      <c r="T21" s="75" t="s">
        <v>102</v>
      </c>
      <c r="U21" s="78">
        <f>B9</f>
        <v>4</v>
      </c>
      <c r="V21" s="78">
        <f>B11</f>
        <v>4</v>
      </c>
      <c r="W21" s="78">
        <f>B25</f>
        <v>4</v>
      </c>
      <c r="X21" s="78">
        <f>B37</f>
        <v>3</v>
      </c>
      <c r="Y21" s="78">
        <f>B54</f>
        <v>5</v>
      </c>
      <c r="Z21" s="78">
        <f>E10</f>
        <v>5</v>
      </c>
      <c r="AA21" s="78">
        <f>E35</f>
        <v>4</v>
      </c>
      <c r="AB21" s="78">
        <f>H8</f>
        <v>2</v>
      </c>
      <c r="AG21" s="128" t="s">
        <v>7</v>
      </c>
      <c r="AH21" s="129"/>
      <c r="AI21" s="129"/>
      <c r="AJ21" s="129"/>
      <c r="AK21" s="129"/>
      <c r="AL21" s="130"/>
      <c r="AM21" s="127"/>
      <c r="AV21" s="18" t="s">
        <v>36</v>
      </c>
      <c r="AW21" s="14"/>
      <c r="AX21" s="14"/>
      <c r="AY21" s="15"/>
      <c r="AZ21" s="24"/>
      <c r="BA21" s="19">
        <f>AM41</f>
        <v>91.81677019</v>
      </c>
      <c r="BD21" s="27" t="s">
        <v>60</v>
      </c>
      <c r="BH21" s="28">
        <v>35.78</v>
      </c>
      <c r="BI21" s="28">
        <v>6.3</v>
      </c>
    </row>
    <row r="22" ht="12.75" customHeight="1">
      <c r="A22" s="155">
        <f t="shared" si="1"/>
        <v>20</v>
      </c>
      <c r="B22" s="159">
        <v>4.0</v>
      </c>
      <c r="C22" s="158">
        <f>0+B22</f>
        <v>4</v>
      </c>
      <c r="D22" s="155">
        <f t="shared" si="2"/>
        <v>75</v>
      </c>
      <c r="E22" s="159">
        <v>3.0</v>
      </c>
      <c r="F22" s="158">
        <f t="shared" ref="F22:F24" si="19">6-E22</f>
        <v>3</v>
      </c>
      <c r="G22" s="155">
        <f t="shared" si="3"/>
        <v>130</v>
      </c>
      <c r="H22" s="159">
        <v>1.0</v>
      </c>
      <c r="I22" s="158">
        <f t="shared" ref="I22:I24" si="20">6-H22</f>
        <v>5</v>
      </c>
      <c r="L22" s="7">
        <f>SUM(C12+C25+C33+C41+C57+F9+F16+F31+F46+I5+I20)</f>
        <v>36</v>
      </c>
      <c r="M22" s="8"/>
      <c r="N22" s="9"/>
      <c r="T22" s="75" t="s">
        <v>103</v>
      </c>
      <c r="U22" s="78">
        <f>B20</f>
        <v>1</v>
      </c>
      <c r="V22" s="78">
        <f>B46</f>
        <v>4</v>
      </c>
      <c r="W22" s="78">
        <f>B57</f>
        <v>3</v>
      </c>
      <c r="X22" s="78">
        <f>E8</f>
        <v>4</v>
      </c>
      <c r="Y22" s="78">
        <f>E19</f>
        <v>4</v>
      </c>
      <c r="Z22" s="78">
        <f>E45</f>
        <v>4</v>
      </c>
      <c r="AA22" s="78">
        <f>H11</f>
        <v>4</v>
      </c>
      <c r="AB22" s="78">
        <f>H16</f>
        <v>1</v>
      </c>
      <c r="AG22" s="137">
        <f>L22</f>
        <v>36</v>
      </c>
      <c r="AH22" s="119"/>
      <c r="AI22" s="119"/>
      <c r="AJ22" s="119"/>
      <c r="AK22" s="119"/>
      <c r="AL22" s="120"/>
      <c r="AM22" s="125">
        <f>(((AG22-BH25)/BI25)*15)+100</f>
        <v>79.49335548</v>
      </c>
      <c r="AV22" s="20" t="s">
        <v>37</v>
      </c>
      <c r="AW22" s="14"/>
      <c r="AX22" s="14"/>
      <c r="AY22" s="15"/>
      <c r="AZ22" s="21"/>
      <c r="BA22" s="22">
        <f>AM44</f>
        <v>95.58510638</v>
      </c>
      <c r="BD22" s="27" t="s">
        <v>61</v>
      </c>
      <c r="BH22" s="28">
        <v>37.72</v>
      </c>
      <c r="BI22" s="28">
        <v>5.07</v>
      </c>
    </row>
    <row r="23" ht="12.0" customHeight="1">
      <c r="A23" s="155">
        <f t="shared" si="1"/>
        <v>21</v>
      </c>
      <c r="B23" s="159">
        <v>2.0</v>
      </c>
      <c r="C23" s="158">
        <f t="shared" ref="C23:C26" si="21">6-B23</f>
        <v>4</v>
      </c>
      <c r="D23" s="155">
        <f t="shared" si="2"/>
        <v>76</v>
      </c>
      <c r="E23" s="159">
        <v>3.0</v>
      </c>
      <c r="F23" s="158">
        <f t="shared" si="19"/>
        <v>3</v>
      </c>
      <c r="G23" s="155">
        <f t="shared" si="3"/>
        <v>131</v>
      </c>
      <c r="H23" s="159">
        <v>2.0</v>
      </c>
      <c r="I23" s="158">
        <f t="shared" si="20"/>
        <v>4</v>
      </c>
      <c r="T23" s="75" t="s">
        <v>104</v>
      </c>
      <c r="U23" s="78">
        <f>B16</f>
        <v>2</v>
      </c>
      <c r="V23" s="78">
        <f>B30</f>
        <v>3</v>
      </c>
      <c r="W23" s="78">
        <f>B45</f>
        <v>3</v>
      </c>
      <c r="X23" s="78">
        <f>E6</f>
        <v>4</v>
      </c>
      <c r="Y23" s="78">
        <f>E21</f>
        <v>3</v>
      </c>
      <c r="Z23" s="78">
        <f>E34</f>
        <v>3</v>
      </c>
      <c r="AA23" s="78">
        <f>E50</f>
        <v>3</v>
      </c>
      <c r="AB23" s="78">
        <f>H25</f>
        <v>5</v>
      </c>
      <c r="AG23" s="138"/>
      <c r="AH23" s="126"/>
      <c r="AI23" s="126"/>
      <c r="AJ23" s="126"/>
      <c r="AK23" s="126"/>
      <c r="AL23" s="126"/>
      <c r="AM23" s="127"/>
      <c r="AV23" s="20" t="s">
        <v>38</v>
      </c>
      <c r="AW23" s="14"/>
      <c r="AX23" s="14"/>
      <c r="AY23" s="15"/>
      <c r="AZ23" s="21"/>
      <c r="BA23" s="22">
        <f>AM47</f>
        <v>90.43516874</v>
      </c>
      <c r="BD23" s="27" t="s">
        <v>62</v>
      </c>
      <c r="BH23" s="28">
        <v>27.37</v>
      </c>
      <c r="BI23" s="28">
        <v>4.48</v>
      </c>
    </row>
    <row r="24" ht="12.75" customHeight="1">
      <c r="A24" s="155">
        <f t="shared" si="1"/>
        <v>22</v>
      </c>
      <c r="B24" s="159">
        <v>5.0</v>
      </c>
      <c r="C24" s="158">
        <f t="shared" si="21"/>
        <v>1</v>
      </c>
      <c r="D24" s="155">
        <f t="shared" si="2"/>
        <v>77</v>
      </c>
      <c r="E24" s="159">
        <v>4.0</v>
      </c>
      <c r="F24" s="158">
        <f t="shared" si="19"/>
        <v>2</v>
      </c>
      <c r="G24" s="155">
        <f t="shared" si="3"/>
        <v>132</v>
      </c>
      <c r="H24" s="159">
        <v>1.0</v>
      </c>
      <c r="I24" s="158">
        <f t="shared" si="20"/>
        <v>5</v>
      </c>
      <c r="L24" s="3" t="s">
        <v>8</v>
      </c>
      <c r="M24" s="4"/>
      <c r="N24" s="5"/>
      <c r="T24" s="75" t="s">
        <v>105</v>
      </c>
      <c r="U24" s="76">
        <f>B3</f>
        <v>5</v>
      </c>
      <c r="V24" s="78">
        <f>B17</f>
        <v>4</v>
      </c>
      <c r="W24" s="78">
        <f>B31</f>
        <v>5</v>
      </c>
      <c r="X24" s="78">
        <f>B47</f>
        <v>5</v>
      </c>
      <c r="Y24" s="78">
        <f>E7</f>
        <v>3</v>
      </c>
      <c r="Z24" s="78">
        <f>E22</f>
        <v>3</v>
      </c>
      <c r="AA24" s="78">
        <f>E36</f>
        <v>3</v>
      </c>
      <c r="AB24" s="78">
        <f>H10</f>
        <v>3</v>
      </c>
      <c r="AG24" s="128" t="s">
        <v>8</v>
      </c>
      <c r="AH24" s="129"/>
      <c r="AI24" s="129"/>
      <c r="AJ24" s="129"/>
      <c r="AK24" s="129"/>
      <c r="AL24" s="130"/>
      <c r="AM24" s="127"/>
      <c r="AV24" s="18" t="s">
        <v>17</v>
      </c>
      <c r="AW24" s="14"/>
      <c r="AX24" s="14"/>
      <c r="AY24" s="15"/>
      <c r="AZ24" s="24"/>
      <c r="BA24" s="19">
        <f>AM49</f>
        <v>80.26315789</v>
      </c>
      <c r="BD24" s="27" t="s">
        <v>63</v>
      </c>
      <c r="BH24" s="28">
        <v>33.51</v>
      </c>
      <c r="BI24" s="28">
        <v>4.19</v>
      </c>
    </row>
    <row r="25" ht="12.75" customHeight="1">
      <c r="A25" s="155">
        <f t="shared" si="1"/>
        <v>23</v>
      </c>
      <c r="B25" s="159">
        <v>4.0</v>
      </c>
      <c r="C25" s="158">
        <f t="shared" si="21"/>
        <v>2</v>
      </c>
      <c r="D25" s="155">
        <f t="shared" si="2"/>
        <v>78</v>
      </c>
      <c r="E25" s="159">
        <v>4.0</v>
      </c>
      <c r="F25" s="158">
        <f t="shared" ref="F25:F28" si="22">0+E25</f>
        <v>4</v>
      </c>
      <c r="G25" s="155">
        <f t="shared" si="3"/>
        <v>133</v>
      </c>
      <c r="H25" s="159">
        <v>5.0</v>
      </c>
      <c r="I25" s="158">
        <f>0+H25</f>
        <v>5</v>
      </c>
      <c r="L25" s="7">
        <f>SUM(C18+C32+C48+F8+F19+F23+F37+F45+F51+I11)</f>
        <v>38</v>
      </c>
      <c r="M25" s="8"/>
      <c r="N25" s="9"/>
      <c r="T25" s="75" t="s">
        <v>106</v>
      </c>
      <c r="U25" s="78">
        <f>B13</f>
        <v>1</v>
      </c>
      <c r="V25" s="78">
        <f>B22</f>
        <v>4</v>
      </c>
      <c r="W25" s="78">
        <f>B28</f>
        <v>2</v>
      </c>
      <c r="X25" s="78">
        <f>B56</f>
        <v>4</v>
      </c>
      <c r="Y25" s="78">
        <f>E27</f>
        <v>5</v>
      </c>
      <c r="Z25" s="78">
        <f>E53</f>
        <v>4</v>
      </c>
      <c r="AA25" s="78">
        <f>E55</f>
        <v>4</v>
      </c>
      <c r="AB25" s="78">
        <f>H24</f>
        <v>1</v>
      </c>
      <c r="AG25" s="137">
        <f>L25</f>
        <v>38</v>
      </c>
      <c r="AH25" s="119"/>
      <c r="AI25" s="119"/>
      <c r="AJ25" s="119"/>
      <c r="AK25" s="119"/>
      <c r="AL25" s="120"/>
      <c r="AM25" s="125">
        <f>(((AG25-BH26)/BI26)*15)+100</f>
        <v>83.96551724</v>
      </c>
      <c r="AV25" s="20" t="s">
        <v>39</v>
      </c>
      <c r="AW25" s="14"/>
      <c r="AX25" s="14"/>
      <c r="AY25" s="15"/>
      <c r="AZ25" s="21"/>
      <c r="BA25" s="22">
        <f>AM52</f>
        <v>78.12865497</v>
      </c>
      <c r="BD25" s="27" t="s">
        <v>64</v>
      </c>
      <c r="BH25" s="28">
        <v>44.23</v>
      </c>
      <c r="BI25" s="28">
        <v>6.02</v>
      </c>
    </row>
    <row r="26" ht="12.0" customHeight="1">
      <c r="A26" s="155">
        <f t="shared" si="1"/>
        <v>24</v>
      </c>
      <c r="B26" s="159">
        <v>1.0</v>
      </c>
      <c r="C26" s="158">
        <f t="shared" si="21"/>
        <v>5</v>
      </c>
      <c r="D26" s="155">
        <f t="shared" si="2"/>
        <v>79</v>
      </c>
      <c r="E26" s="159">
        <v>1.0</v>
      </c>
      <c r="F26" s="158">
        <f t="shared" si="22"/>
        <v>1</v>
      </c>
      <c r="G26" s="62"/>
      <c r="H26" s="63"/>
      <c r="I26" s="63">
        <f>SUM(I3:I25)+(C58)+(F58)</f>
        <v>442</v>
      </c>
      <c r="AG26" s="138"/>
      <c r="AH26" s="126"/>
      <c r="AI26" s="126"/>
      <c r="AJ26" s="126"/>
      <c r="AK26" s="126"/>
      <c r="AL26" s="126"/>
      <c r="AM26" s="127"/>
      <c r="AV26" s="20" t="s">
        <v>40</v>
      </c>
      <c r="AW26" s="14"/>
      <c r="AX26" s="14"/>
      <c r="AY26" s="15"/>
      <c r="AZ26" s="21"/>
      <c r="BA26" s="22">
        <f>AM55</f>
        <v>86.61434978</v>
      </c>
      <c r="BD26" s="27" t="s">
        <v>65</v>
      </c>
      <c r="BH26" s="28">
        <v>43.27</v>
      </c>
      <c r="BI26" s="28">
        <v>4.93</v>
      </c>
    </row>
    <row r="27" ht="12.75" customHeight="1">
      <c r="A27" s="155">
        <f t="shared" si="1"/>
        <v>25</v>
      </c>
      <c r="B27" s="159">
        <v>1.0</v>
      </c>
      <c r="C27" s="158">
        <f t="shared" ref="C27:C28" si="23">0+B27</f>
        <v>1</v>
      </c>
      <c r="D27" s="155">
        <f t="shared" si="2"/>
        <v>80</v>
      </c>
      <c r="E27" s="159">
        <v>5.0</v>
      </c>
      <c r="F27" s="158">
        <f t="shared" si="22"/>
        <v>5</v>
      </c>
      <c r="L27" s="3" t="s">
        <v>9</v>
      </c>
      <c r="M27" s="4"/>
      <c r="N27" s="5"/>
      <c r="V27" s="74" t="s">
        <v>107</v>
      </c>
      <c r="AG27" s="128" t="s">
        <v>9</v>
      </c>
      <c r="AH27" s="129"/>
      <c r="AI27" s="129"/>
      <c r="AJ27" s="129"/>
      <c r="AK27" s="129"/>
      <c r="AL27" s="130"/>
      <c r="AM27" s="127"/>
      <c r="BD27" s="27" t="s">
        <v>66</v>
      </c>
      <c r="BH27" s="28">
        <v>31.79</v>
      </c>
      <c r="BI27" s="28">
        <v>4.6</v>
      </c>
    </row>
    <row r="28" ht="12.75" customHeight="1">
      <c r="A28" s="155">
        <f t="shared" si="1"/>
        <v>26</v>
      </c>
      <c r="B28" s="159">
        <v>2.0</v>
      </c>
      <c r="C28" s="158">
        <f t="shared" si="23"/>
        <v>2</v>
      </c>
      <c r="D28" s="155">
        <f t="shared" si="2"/>
        <v>81</v>
      </c>
      <c r="E28" s="159">
        <v>4.0</v>
      </c>
      <c r="F28" s="158">
        <f t="shared" si="22"/>
        <v>4</v>
      </c>
      <c r="L28" s="7">
        <f>SUM(C20+C46+C57+F8+F19+F45+I11+I16)</f>
        <v>29</v>
      </c>
      <c r="M28" s="8"/>
      <c r="N28" s="9"/>
      <c r="T28" s="75" t="s">
        <v>108</v>
      </c>
      <c r="U28" s="78">
        <f>B24</f>
        <v>5</v>
      </c>
      <c r="V28" s="78">
        <f>B39</f>
        <v>5</v>
      </c>
      <c r="W28" s="78">
        <f>E14</f>
        <v>3</v>
      </c>
      <c r="X28" s="78">
        <f>E29</f>
        <v>4</v>
      </c>
      <c r="Y28" s="78">
        <f>E43</f>
        <v>3</v>
      </c>
      <c r="Z28" s="78">
        <f>H3</f>
        <v>3</v>
      </c>
      <c r="AA28" s="78">
        <f>H18</f>
        <v>4</v>
      </c>
      <c r="AG28" s="137">
        <f>L28</f>
        <v>29</v>
      </c>
      <c r="AH28" s="119"/>
      <c r="AI28" s="119"/>
      <c r="AJ28" s="119"/>
      <c r="AK28" s="119"/>
      <c r="AL28" s="120"/>
      <c r="AM28" s="125">
        <f>(((AG28-BH24)/BI24)*15)+100</f>
        <v>83.85441527</v>
      </c>
      <c r="BD28" s="27" t="s">
        <v>67</v>
      </c>
      <c r="BH28" s="28">
        <v>39.53</v>
      </c>
      <c r="BI28" s="28">
        <v>5.58</v>
      </c>
    </row>
    <row r="29" ht="12.0" customHeight="1">
      <c r="A29" s="155">
        <f t="shared" si="1"/>
        <v>27</v>
      </c>
      <c r="B29" s="159">
        <v>2.0</v>
      </c>
      <c r="C29" s="158">
        <f t="shared" ref="C29:C32" si="24">6-B29</f>
        <v>4</v>
      </c>
      <c r="D29" s="155">
        <f t="shared" si="2"/>
        <v>82</v>
      </c>
      <c r="E29" s="159">
        <v>4.0</v>
      </c>
      <c r="F29" s="158">
        <f t="shared" ref="F29:F30" si="25">6-E29</f>
        <v>2</v>
      </c>
      <c r="T29" s="75" t="s">
        <v>109</v>
      </c>
      <c r="U29" s="78">
        <f>B5</f>
        <v>4</v>
      </c>
      <c r="V29" s="78">
        <f>B21</f>
        <v>2</v>
      </c>
      <c r="W29" s="78">
        <f>B34</f>
        <v>2</v>
      </c>
      <c r="X29" s="78">
        <f>B50</f>
        <v>1</v>
      </c>
      <c r="Y29" s="78">
        <f>E9</f>
        <v>3</v>
      </c>
      <c r="Z29" s="78">
        <f>E54</f>
        <v>1</v>
      </c>
      <c r="AA29" s="78">
        <f>H13</f>
        <v>5</v>
      </c>
      <c r="AG29" s="126"/>
      <c r="AH29" s="126"/>
      <c r="AI29" s="126"/>
      <c r="AJ29" s="126"/>
      <c r="AK29" s="126"/>
      <c r="AL29" s="126"/>
      <c r="AM29" s="127"/>
      <c r="BD29" s="27" t="s">
        <v>68</v>
      </c>
      <c r="BH29" s="28">
        <v>28.94</v>
      </c>
      <c r="BI29" s="28">
        <v>4.86</v>
      </c>
    </row>
    <row r="30" ht="15.75" customHeight="1">
      <c r="A30" s="155">
        <f t="shared" si="1"/>
        <v>28</v>
      </c>
      <c r="B30" s="159">
        <v>3.0</v>
      </c>
      <c r="C30" s="158">
        <f t="shared" si="24"/>
        <v>3</v>
      </c>
      <c r="D30" s="155">
        <f t="shared" si="2"/>
        <v>83</v>
      </c>
      <c r="E30" s="159">
        <v>2.0</v>
      </c>
      <c r="F30" s="158">
        <f t="shared" si="25"/>
        <v>4</v>
      </c>
      <c r="L30" s="11" t="s">
        <v>10</v>
      </c>
      <c r="P30" s="2">
        <f>SUM(L36+L39+L33)</f>
        <v>91</v>
      </c>
      <c r="AG30" s="134" t="s">
        <v>10</v>
      </c>
      <c r="AH30" s="126"/>
      <c r="AI30" s="126"/>
      <c r="AJ30" s="126"/>
      <c r="AK30" s="135">
        <f>SUM(AG36+AG39+AG33)</f>
        <v>91</v>
      </c>
      <c r="AL30" s="126"/>
      <c r="AM30" s="136">
        <f>(((AK30-BH15)/BI15)*15)+100</f>
        <v>88.78009631</v>
      </c>
      <c r="BD30" s="27" t="s">
        <v>69</v>
      </c>
      <c r="BH30" s="28">
        <v>33.66</v>
      </c>
      <c r="BI30" s="28">
        <v>5.64</v>
      </c>
    </row>
    <row r="31" ht="12.75" customHeight="1">
      <c r="A31" s="155">
        <f t="shared" si="1"/>
        <v>29</v>
      </c>
      <c r="B31" s="159">
        <v>5.0</v>
      </c>
      <c r="C31" s="158">
        <f t="shared" si="24"/>
        <v>1</v>
      </c>
      <c r="D31" s="155">
        <f t="shared" si="2"/>
        <v>84</v>
      </c>
      <c r="E31" s="159">
        <v>3.0</v>
      </c>
      <c r="F31" s="158">
        <f t="shared" ref="F31:F32" si="26">0+E31</f>
        <v>3</v>
      </c>
      <c r="AG31" s="126"/>
      <c r="AH31" s="126"/>
      <c r="AI31" s="126"/>
      <c r="AJ31" s="126"/>
      <c r="AK31" s="126"/>
      <c r="AL31" s="126"/>
      <c r="AM31" s="125"/>
      <c r="BD31" s="27" t="s">
        <v>70</v>
      </c>
      <c r="BH31" s="28">
        <v>34.59</v>
      </c>
      <c r="BI31" s="28">
        <v>5.63</v>
      </c>
    </row>
    <row r="32" ht="12.75" customHeight="1">
      <c r="A32" s="155">
        <f t="shared" si="1"/>
        <v>30</v>
      </c>
      <c r="B32" s="159">
        <v>3.0</v>
      </c>
      <c r="C32" s="158">
        <f t="shared" si="24"/>
        <v>3</v>
      </c>
      <c r="D32" s="155">
        <f t="shared" si="2"/>
        <v>85</v>
      </c>
      <c r="E32" s="159">
        <v>1.0</v>
      </c>
      <c r="F32" s="158">
        <f t="shared" si="26"/>
        <v>1</v>
      </c>
      <c r="L32" s="3" t="s">
        <v>11</v>
      </c>
      <c r="M32" s="4"/>
      <c r="N32" s="5"/>
      <c r="AG32" s="128" t="s">
        <v>11</v>
      </c>
      <c r="AH32" s="129"/>
      <c r="AI32" s="129"/>
      <c r="AJ32" s="129"/>
      <c r="AK32" s="129"/>
      <c r="AL32" s="130"/>
      <c r="AM32" s="127"/>
      <c r="BD32" s="27" t="s">
        <v>71</v>
      </c>
      <c r="BH32" s="28">
        <v>37.48</v>
      </c>
      <c r="BI32" s="28">
        <v>5.13</v>
      </c>
    </row>
    <row r="33" ht="12.75" customHeight="1">
      <c r="A33" s="155">
        <f t="shared" si="1"/>
        <v>31</v>
      </c>
      <c r="B33" s="159">
        <v>2.0</v>
      </c>
      <c r="C33" s="158">
        <f>0+B33</f>
        <v>2</v>
      </c>
      <c r="D33" s="155">
        <f t="shared" si="2"/>
        <v>86</v>
      </c>
      <c r="E33" s="159">
        <v>2.0</v>
      </c>
      <c r="F33" s="158">
        <f t="shared" ref="F33:F34" si="27">6-E33</f>
        <v>4</v>
      </c>
      <c r="L33" s="7">
        <f>SUM(C3+C17+C31+C47+F7+F22+F36+I10)</f>
        <v>27</v>
      </c>
      <c r="M33" s="8"/>
      <c r="N33" s="9"/>
      <c r="AG33" s="137">
        <f>L33</f>
        <v>27</v>
      </c>
      <c r="AH33" s="119"/>
      <c r="AI33" s="119"/>
      <c r="AJ33" s="119"/>
      <c r="AK33" s="119"/>
      <c r="AL33" s="120"/>
      <c r="AM33" s="125">
        <f>(((AG33-BH27)/BI27)*15)+100</f>
        <v>84.38043478</v>
      </c>
      <c r="BD33" s="27" t="s">
        <v>72</v>
      </c>
      <c r="BH33" s="28">
        <v>32.98</v>
      </c>
      <c r="BI33" s="28">
        <v>4.46</v>
      </c>
    </row>
    <row r="34" ht="12.0" customHeight="1">
      <c r="A34" s="155">
        <f t="shared" si="1"/>
        <v>32</v>
      </c>
      <c r="B34" s="159">
        <v>2.0</v>
      </c>
      <c r="C34" s="158">
        <f>6-B34</f>
        <v>4</v>
      </c>
      <c r="D34" s="155">
        <f t="shared" si="2"/>
        <v>87</v>
      </c>
      <c r="E34" s="159">
        <v>3.0</v>
      </c>
      <c r="F34" s="158">
        <f t="shared" si="27"/>
        <v>3</v>
      </c>
      <c r="W34" s="16" t="s">
        <v>110</v>
      </c>
      <c r="AG34" s="138"/>
      <c r="AH34" s="126"/>
      <c r="AI34" s="126"/>
      <c r="AJ34" s="126"/>
      <c r="AK34" s="126"/>
      <c r="AL34" s="126"/>
      <c r="AM34" s="127"/>
    </row>
    <row r="35" ht="12.75" customHeight="1">
      <c r="A35" s="155">
        <f t="shared" si="1"/>
        <v>33</v>
      </c>
      <c r="B35" s="159">
        <v>4.0</v>
      </c>
      <c r="C35" s="158">
        <f t="shared" ref="C35:C36" si="28">0+B35</f>
        <v>4</v>
      </c>
      <c r="D35" s="155">
        <f t="shared" si="2"/>
        <v>88</v>
      </c>
      <c r="E35" s="159">
        <v>4.0</v>
      </c>
      <c r="F35" s="158">
        <f t="shared" ref="F35:F37" si="29">0+E35</f>
        <v>4</v>
      </c>
      <c r="L35" s="3" t="s">
        <v>12</v>
      </c>
      <c r="M35" s="4"/>
      <c r="N35" s="5"/>
      <c r="W35" s="74" t="s">
        <v>111</v>
      </c>
      <c r="AG35" s="128" t="s">
        <v>12</v>
      </c>
      <c r="AH35" s="129"/>
      <c r="AI35" s="129"/>
      <c r="AJ35" s="129"/>
      <c r="AK35" s="129"/>
      <c r="AL35" s="130"/>
      <c r="AM35" s="127"/>
    </row>
    <row r="36" ht="12.75" customHeight="1">
      <c r="A36" s="155">
        <f t="shared" si="1"/>
        <v>34</v>
      </c>
      <c r="B36" s="159">
        <v>3.0</v>
      </c>
      <c r="C36" s="158">
        <f t="shared" si="28"/>
        <v>3</v>
      </c>
      <c r="D36" s="155">
        <f t="shared" si="2"/>
        <v>89</v>
      </c>
      <c r="E36" s="159">
        <v>3.0</v>
      </c>
      <c r="F36" s="158">
        <f t="shared" si="29"/>
        <v>3</v>
      </c>
      <c r="L36" s="7">
        <f>SUM(C10+C37+C40+C55+F15+F30+F35+F44+I4+I19)</f>
        <v>39</v>
      </c>
      <c r="M36" s="8"/>
      <c r="N36" s="9"/>
      <c r="U36" s="79">
        <f>C25</f>
        <v>2</v>
      </c>
      <c r="V36" s="80">
        <f>C34</f>
        <v>4</v>
      </c>
      <c r="W36" s="79">
        <f>C43</f>
        <v>2</v>
      </c>
      <c r="X36" s="80">
        <f>C49</f>
        <v>4</v>
      </c>
      <c r="Y36" s="79">
        <f>F3</f>
        <v>3</v>
      </c>
      <c r="Z36" s="80">
        <f>F7</f>
        <v>3</v>
      </c>
      <c r="AA36" s="79">
        <f>F32</f>
        <v>1</v>
      </c>
      <c r="AB36" s="80">
        <f>F34</f>
        <v>3</v>
      </c>
      <c r="AC36" s="79">
        <f>F47</f>
        <v>1</v>
      </c>
      <c r="AD36" s="81">
        <f>I9</f>
        <v>4</v>
      </c>
      <c r="AG36" s="137">
        <f>L36</f>
        <v>39</v>
      </c>
      <c r="AH36" s="119"/>
      <c r="AI36" s="119"/>
      <c r="AJ36" s="119"/>
      <c r="AK36" s="119"/>
      <c r="AL36" s="120"/>
      <c r="AM36" s="125">
        <f>(((AG36-BH28)/BI28)*15)+100</f>
        <v>98.57526882</v>
      </c>
    </row>
    <row r="37" ht="12.0" customHeight="1">
      <c r="A37" s="155">
        <f t="shared" si="1"/>
        <v>35</v>
      </c>
      <c r="B37" s="159">
        <v>3.0</v>
      </c>
      <c r="C37" s="158">
        <f t="shared" ref="C37:C38" si="30">6-B37</f>
        <v>3</v>
      </c>
      <c r="D37" s="155">
        <f t="shared" si="2"/>
        <v>90</v>
      </c>
      <c r="E37" s="159">
        <v>4.0</v>
      </c>
      <c r="F37" s="158">
        <f t="shared" si="29"/>
        <v>4</v>
      </c>
      <c r="U37" s="82">
        <f>C54</f>
        <v>1</v>
      </c>
      <c r="V37" s="83">
        <f>C50</f>
        <v>5</v>
      </c>
      <c r="W37" s="82">
        <f>F48</f>
        <v>2</v>
      </c>
      <c r="X37" s="83">
        <f>F38</f>
        <v>4</v>
      </c>
      <c r="Y37" s="82">
        <f>F17</f>
        <v>1</v>
      </c>
      <c r="Z37" s="83">
        <f>F36</f>
        <v>3</v>
      </c>
      <c r="AA37" s="82">
        <f>I21</f>
        <v>3</v>
      </c>
      <c r="AB37" s="83">
        <f>F50</f>
        <v>3</v>
      </c>
      <c r="AC37" s="82">
        <f>I6</f>
        <v>3</v>
      </c>
      <c r="AD37" s="84">
        <f>I22</f>
        <v>5</v>
      </c>
      <c r="AG37" s="138"/>
      <c r="AH37" s="126"/>
      <c r="AI37" s="126"/>
      <c r="AJ37" s="126"/>
      <c r="AK37" s="126"/>
      <c r="AL37" s="126"/>
      <c r="AM37" s="127"/>
    </row>
    <row r="38" ht="12.75" customHeight="1">
      <c r="A38" s="155">
        <f t="shared" si="1"/>
        <v>36</v>
      </c>
      <c r="B38" s="159">
        <v>3.0</v>
      </c>
      <c r="C38" s="158">
        <f t="shared" si="30"/>
        <v>3</v>
      </c>
      <c r="D38" s="155">
        <f t="shared" si="2"/>
        <v>91</v>
      </c>
      <c r="E38" s="159">
        <v>2.0</v>
      </c>
      <c r="F38" s="158">
        <f t="shared" ref="F38:F40" si="32">6-E38</f>
        <v>4</v>
      </c>
      <c r="L38" s="3" t="s">
        <v>13</v>
      </c>
      <c r="M38" s="4"/>
      <c r="N38" s="5"/>
      <c r="U38" s="76">
        <f t="shared" ref="U38:AD38" si="31">SUM(U36-U37)</f>
        <v>1</v>
      </c>
      <c r="V38" s="76">
        <f t="shared" si="31"/>
        <v>-1</v>
      </c>
      <c r="W38" s="76">
        <f t="shared" si="31"/>
        <v>0</v>
      </c>
      <c r="X38" s="76">
        <f t="shared" si="31"/>
        <v>0</v>
      </c>
      <c r="Y38" s="76">
        <f t="shared" si="31"/>
        <v>2</v>
      </c>
      <c r="Z38" s="76">
        <f t="shared" si="31"/>
        <v>0</v>
      </c>
      <c r="AA38" s="76">
        <f t="shared" si="31"/>
        <v>-2</v>
      </c>
      <c r="AB38" s="76">
        <f t="shared" si="31"/>
        <v>0</v>
      </c>
      <c r="AC38" s="76">
        <f t="shared" si="31"/>
        <v>-2</v>
      </c>
      <c r="AD38" s="76">
        <f t="shared" si="31"/>
        <v>-1</v>
      </c>
      <c r="AG38" s="128" t="s">
        <v>13</v>
      </c>
      <c r="AH38" s="129"/>
      <c r="AI38" s="129"/>
      <c r="AJ38" s="129"/>
      <c r="AK38" s="129"/>
      <c r="AL38" s="130"/>
      <c r="AM38" s="127"/>
    </row>
    <row r="39" ht="12.75" customHeight="1">
      <c r="A39" s="155">
        <f t="shared" si="1"/>
        <v>37</v>
      </c>
      <c r="B39" s="159">
        <v>5.0</v>
      </c>
      <c r="C39" s="158">
        <f>0+B39</f>
        <v>5</v>
      </c>
      <c r="D39" s="155">
        <f t="shared" si="2"/>
        <v>92</v>
      </c>
      <c r="E39" s="159">
        <v>2.0</v>
      </c>
      <c r="F39" s="158">
        <f t="shared" si="32"/>
        <v>4</v>
      </c>
      <c r="L39" s="7">
        <f>SUM(C16+C30+C45+F6+F21+F34+F50+I23)</f>
        <v>25</v>
      </c>
      <c r="M39" s="8"/>
      <c r="N39" s="9"/>
      <c r="AG39" s="137">
        <f>L39</f>
        <v>25</v>
      </c>
      <c r="AH39" s="119"/>
      <c r="AI39" s="119"/>
      <c r="AJ39" s="119"/>
      <c r="AK39" s="119"/>
      <c r="AL39" s="120"/>
      <c r="AM39" s="125">
        <f>(((AG39-BH29)/BI29)*15)+100</f>
        <v>87.83950617</v>
      </c>
    </row>
    <row r="40" ht="12.0" customHeight="1">
      <c r="A40" s="155">
        <f t="shared" si="1"/>
        <v>38</v>
      </c>
      <c r="B40" s="159">
        <v>2.0</v>
      </c>
      <c r="C40" s="158">
        <f>6-B40</f>
        <v>4</v>
      </c>
      <c r="D40" s="155">
        <f t="shared" si="2"/>
        <v>93</v>
      </c>
      <c r="E40" s="159">
        <v>2.0</v>
      </c>
      <c r="F40" s="158">
        <f t="shared" si="32"/>
        <v>4</v>
      </c>
      <c r="AG40" s="126"/>
      <c r="AH40" s="126"/>
      <c r="AI40" s="126"/>
      <c r="AJ40" s="126"/>
      <c r="AK40" s="126"/>
      <c r="AL40" s="126"/>
      <c r="AM40" s="127"/>
    </row>
    <row r="41" ht="15.75" customHeight="1">
      <c r="A41" s="155">
        <f t="shared" si="1"/>
        <v>39</v>
      </c>
      <c r="B41" s="159">
        <v>4.0</v>
      </c>
      <c r="C41" s="158">
        <f t="shared" ref="C41:C43" si="33">0+B41</f>
        <v>4</v>
      </c>
      <c r="D41" s="155">
        <f t="shared" si="2"/>
        <v>94</v>
      </c>
      <c r="E41" s="159">
        <v>4.0</v>
      </c>
      <c r="F41" s="158">
        <f t="shared" ref="F41:F43" si="34">0+E41</f>
        <v>4</v>
      </c>
      <c r="L41" s="11" t="s">
        <v>14</v>
      </c>
      <c r="P41" s="2">
        <f>SUM(L44+L47)</f>
        <v>63</v>
      </c>
      <c r="AG41" s="134" t="s">
        <v>36</v>
      </c>
      <c r="AH41" s="126"/>
      <c r="AI41" s="126"/>
      <c r="AJ41" s="126"/>
      <c r="AK41" s="135">
        <f>SUM(AG44+AG47)</f>
        <v>63</v>
      </c>
      <c r="AL41" s="126"/>
      <c r="AM41" s="136">
        <f>(((AK41-BH16)/BI16)*15)+100</f>
        <v>91.81677019</v>
      </c>
    </row>
    <row r="42" ht="12.75" customHeight="1">
      <c r="A42" s="155">
        <f t="shared" si="1"/>
        <v>40</v>
      </c>
      <c r="B42" s="159">
        <v>4.0</v>
      </c>
      <c r="C42" s="158">
        <f t="shared" si="33"/>
        <v>4</v>
      </c>
      <c r="D42" s="155">
        <f t="shared" si="2"/>
        <v>95</v>
      </c>
      <c r="E42" s="159">
        <v>3.0</v>
      </c>
      <c r="F42" s="158">
        <f t="shared" si="34"/>
        <v>3</v>
      </c>
      <c r="AG42" s="126"/>
      <c r="AH42" s="126"/>
      <c r="AI42" s="126"/>
      <c r="AJ42" s="126"/>
      <c r="AK42" s="126"/>
      <c r="AL42" s="126"/>
      <c r="AM42" s="125"/>
    </row>
    <row r="43" ht="12.75" customHeight="1">
      <c r="A43" s="155">
        <f t="shared" si="1"/>
        <v>41</v>
      </c>
      <c r="B43" s="159">
        <v>2.0</v>
      </c>
      <c r="C43" s="158">
        <f t="shared" si="33"/>
        <v>2</v>
      </c>
      <c r="D43" s="155">
        <f t="shared" si="2"/>
        <v>96</v>
      </c>
      <c r="E43" s="159">
        <v>3.0</v>
      </c>
      <c r="F43" s="158">
        <f t="shared" si="34"/>
        <v>3</v>
      </c>
      <c r="L43" s="3" t="s">
        <v>15</v>
      </c>
      <c r="M43" s="4"/>
      <c r="N43" s="5"/>
      <c r="AG43" s="128" t="s">
        <v>121</v>
      </c>
      <c r="AH43" s="129"/>
      <c r="AI43" s="129"/>
      <c r="AJ43" s="129"/>
      <c r="AK43" s="129"/>
      <c r="AL43" s="130"/>
      <c r="AM43" s="127"/>
    </row>
    <row r="44" ht="12.75" customHeight="1">
      <c r="A44" s="155">
        <f t="shared" si="1"/>
        <v>42</v>
      </c>
      <c r="B44" s="159">
        <v>2.0</v>
      </c>
      <c r="C44" s="158">
        <f t="shared" ref="C44:C45" si="35">6-B44</f>
        <v>4</v>
      </c>
      <c r="D44" s="155">
        <f t="shared" si="2"/>
        <v>97</v>
      </c>
      <c r="E44" s="159">
        <v>2.0</v>
      </c>
      <c r="F44" s="158">
        <f>6-E44</f>
        <v>4</v>
      </c>
      <c r="L44" s="7">
        <f>SUM(C6+C22+C35+C51+F11+F25+F40+F55+I14)</f>
        <v>32</v>
      </c>
      <c r="M44" s="8"/>
      <c r="N44" s="9"/>
      <c r="AG44" s="137">
        <f>L44</f>
        <v>32</v>
      </c>
      <c r="AH44" s="119"/>
      <c r="AI44" s="119"/>
      <c r="AJ44" s="119"/>
      <c r="AK44" s="119"/>
      <c r="AL44" s="120"/>
      <c r="AM44" s="125">
        <f>(((AG44-BH30)/BI30)*15)+100</f>
        <v>95.58510638</v>
      </c>
    </row>
    <row r="45" ht="12.0" customHeight="1">
      <c r="A45" s="155">
        <f t="shared" si="1"/>
        <v>43</v>
      </c>
      <c r="B45" s="159">
        <v>3.0</v>
      </c>
      <c r="C45" s="158">
        <f t="shared" si="35"/>
        <v>3</v>
      </c>
      <c r="D45" s="155">
        <f t="shared" si="2"/>
        <v>98</v>
      </c>
      <c r="E45" s="159">
        <v>4.0</v>
      </c>
      <c r="F45" s="158">
        <f t="shared" ref="F45:F48" si="36">0+E45</f>
        <v>4</v>
      </c>
      <c r="AG45" s="138"/>
      <c r="AH45" s="126"/>
      <c r="AI45" s="126"/>
      <c r="AJ45" s="126"/>
      <c r="AK45" s="126"/>
      <c r="AL45" s="126"/>
      <c r="AM45" s="127"/>
    </row>
    <row r="46" ht="12.75" customHeight="1">
      <c r="A46" s="155">
        <f t="shared" si="1"/>
        <v>44</v>
      </c>
      <c r="B46" s="159">
        <v>4.0</v>
      </c>
      <c r="C46" s="158">
        <f t="shared" ref="C46:C47" si="37">0+B46</f>
        <v>4</v>
      </c>
      <c r="D46" s="155">
        <f t="shared" si="2"/>
        <v>99</v>
      </c>
      <c r="E46" s="159">
        <v>4.0</v>
      </c>
      <c r="F46" s="158">
        <f t="shared" si="36"/>
        <v>4</v>
      </c>
      <c r="L46" s="3" t="s">
        <v>16</v>
      </c>
      <c r="M46" s="4"/>
      <c r="N46" s="5"/>
      <c r="AG46" s="128" t="s">
        <v>16</v>
      </c>
      <c r="AH46" s="129"/>
      <c r="AI46" s="129"/>
      <c r="AJ46" s="129"/>
      <c r="AK46" s="129"/>
      <c r="AL46" s="130"/>
      <c r="AM46" s="127"/>
    </row>
    <row r="47" ht="12.75" customHeight="1">
      <c r="A47" s="155">
        <f t="shared" si="1"/>
        <v>45</v>
      </c>
      <c r="B47" s="159">
        <v>5.0</v>
      </c>
      <c r="C47" s="158">
        <f t="shared" si="37"/>
        <v>5</v>
      </c>
      <c r="D47" s="155">
        <f t="shared" si="2"/>
        <v>100</v>
      </c>
      <c r="E47" s="159">
        <v>1.0</v>
      </c>
      <c r="F47" s="158">
        <f t="shared" si="36"/>
        <v>1</v>
      </c>
      <c r="L47" s="7">
        <f>SUM(C15+C29+C44+F5+F20+F33+F49+I9+I22)</f>
        <v>31</v>
      </c>
      <c r="M47" s="8"/>
      <c r="N47" s="9"/>
      <c r="AG47" s="137">
        <f>L47</f>
        <v>31</v>
      </c>
      <c r="AH47" s="119"/>
      <c r="AI47" s="119"/>
      <c r="AJ47" s="119"/>
      <c r="AK47" s="119"/>
      <c r="AL47" s="120"/>
      <c r="AM47" s="125">
        <f>(((AG47-BH31)/BI31)*15)+100</f>
        <v>90.43516874</v>
      </c>
    </row>
    <row r="48" ht="12.0" customHeight="1">
      <c r="A48" s="155">
        <f t="shared" si="1"/>
        <v>46</v>
      </c>
      <c r="B48" s="159">
        <v>2.0</v>
      </c>
      <c r="C48" s="158">
        <f>6-B48</f>
        <v>4</v>
      </c>
      <c r="D48" s="155">
        <f t="shared" si="2"/>
        <v>101</v>
      </c>
      <c r="E48" s="159">
        <v>2.0</v>
      </c>
      <c r="F48" s="158">
        <f t="shared" si="36"/>
        <v>2</v>
      </c>
      <c r="AG48" s="126"/>
      <c r="AH48" s="126"/>
      <c r="AI48" s="126"/>
      <c r="AJ48" s="126"/>
      <c r="AK48" s="126"/>
      <c r="AL48" s="126"/>
      <c r="AM48" s="127"/>
    </row>
    <row r="49" ht="15.75" customHeight="1">
      <c r="A49" s="155">
        <f t="shared" si="1"/>
        <v>47</v>
      </c>
      <c r="B49" s="159">
        <v>4.0</v>
      </c>
      <c r="C49" s="158">
        <f>0+B49</f>
        <v>4</v>
      </c>
      <c r="D49" s="155">
        <f t="shared" si="2"/>
        <v>102</v>
      </c>
      <c r="E49" s="159">
        <v>2.0</v>
      </c>
      <c r="F49" s="158">
        <f t="shared" ref="F49:F50" si="38">6-E49</f>
        <v>4</v>
      </c>
      <c r="L49" s="11" t="s">
        <v>17</v>
      </c>
      <c r="P49" s="2">
        <f>SUM(L52+L55)</f>
        <v>59</v>
      </c>
      <c r="AG49" s="134" t="s">
        <v>17</v>
      </c>
      <c r="AH49" s="126"/>
      <c r="AI49" s="126"/>
      <c r="AJ49" s="126"/>
      <c r="AK49" s="135">
        <f>SUM(AG52+AG55)</f>
        <v>59</v>
      </c>
      <c r="AL49" s="126"/>
      <c r="AM49" s="136">
        <f>(((AK49-BH17)/BI17)*15)+100</f>
        <v>80.26315789</v>
      </c>
    </row>
    <row r="50" ht="13.5" customHeight="1">
      <c r="A50" s="155">
        <f t="shared" si="1"/>
        <v>48</v>
      </c>
      <c r="B50" s="159">
        <v>1.0</v>
      </c>
      <c r="C50" s="158">
        <f t="shared" ref="C50:C51" si="39">6-B50</f>
        <v>5</v>
      </c>
      <c r="D50" s="155">
        <f t="shared" si="2"/>
        <v>103</v>
      </c>
      <c r="E50" s="159">
        <v>3.0</v>
      </c>
      <c r="F50" s="158">
        <f t="shared" si="38"/>
        <v>3</v>
      </c>
      <c r="AG50" s="126"/>
      <c r="AH50" s="126"/>
      <c r="AI50" s="126"/>
      <c r="AJ50" s="126"/>
      <c r="AK50" s="126"/>
      <c r="AL50" s="126"/>
      <c r="AM50" s="125"/>
      <c r="AN50" s="134" t="s">
        <v>19</v>
      </c>
    </row>
    <row r="51" ht="15.75" customHeight="1">
      <c r="A51" s="155">
        <f t="shared" si="1"/>
        <v>49</v>
      </c>
      <c r="B51" s="159">
        <v>2.0</v>
      </c>
      <c r="C51" s="158">
        <f t="shared" si="39"/>
        <v>4</v>
      </c>
      <c r="D51" s="155">
        <f t="shared" si="2"/>
        <v>104</v>
      </c>
      <c r="E51" s="159">
        <v>4.0</v>
      </c>
      <c r="F51" s="158">
        <f t="shared" ref="F51:F53" si="40">0+E51</f>
        <v>4</v>
      </c>
      <c r="L51" s="3" t="s">
        <v>18</v>
      </c>
      <c r="M51" s="4"/>
      <c r="N51" s="5"/>
      <c r="Q51" s="11" t="s">
        <v>19</v>
      </c>
      <c r="R51" s="11"/>
      <c r="S51" s="11"/>
      <c r="AG51" s="128" t="s">
        <v>18</v>
      </c>
      <c r="AH51" s="129"/>
      <c r="AI51" s="129"/>
      <c r="AJ51" s="129"/>
      <c r="AK51" s="129"/>
      <c r="AL51" s="130"/>
      <c r="AM51" s="139"/>
      <c r="AN51" s="140" t="s">
        <v>120</v>
      </c>
      <c r="AO51" s="14"/>
      <c r="AP51" s="15"/>
      <c r="AQ51" s="141" t="s">
        <v>119</v>
      </c>
      <c r="AR51" s="25"/>
      <c r="AS51" s="25"/>
    </row>
    <row r="52" ht="12.75" customHeight="1">
      <c r="A52" s="155">
        <f t="shared" si="1"/>
        <v>50</v>
      </c>
      <c r="B52" s="159">
        <v>3.0</v>
      </c>
      <c r="C52" s="158">
        <f>0+B52</f>
        <v>3</v>
      </c>
      <c r="D52" s="155">
        <f t="shared" si="2"/>
        <v>105</v>
      </c>
      <c r="E52" s="159">
        <v>4.0</v>
      </c>
      <c r="F52" s="158">
        <f t="shared" si="40"/>
        <v>4</v>
      </c>
      <c r="L52" s="7">
        <f>SUM(C4+C19+C33+C49+F9+F24+F38+F52+I12)</f>
        <v>30</v>
      </c>
      <c r="M52" s="8"/>
      <c r="N52" s="9"/>
      <c r="AG52" s="137">
        <f>L52</f>
        <v>30</v>
      </c>
      <c r="AH52" s="119"/>
      <c r="AI52" s="119"/>
      <c r="AJ52" s="119"/>
      <c r="AK52" s="119"/>
      <c r="AL52" s="120"/>
      <c r="AM52" s="142">
        <f>(((AG52-BH32)/BI32)*15)+100</f>
        <v>78.12865497</v>
      </c>
      <c r="AN52" s="143">
        <f>Q54</f>
        <v>26</v>
      </c>
      <c r="AO52" s="14"/>
      <c r="AP52" s="15"/>
      <c r="AQ52" s="144">
        <f>(((BE62-BH8)/BI8)*15)+100</f>
        <v>42.40566038</v>
      </c>
      <c r="AR52" s="26"/>
      <c r="AS52" s="26"/>
    </row>
    <row r="53" ht="12.0" customHeight="1">
      <c r="A53" s="155">
        <f t="shared" si="1"/>
        <v>51</v>
      </c>
      <c r="B53" s="159">
        <v>3.0</v>
      </c>
      <c r="C53" s="158">
        <f t="shared" ref="C53:C55" si="41">6-B53</f>
        <v>3</v>
      </c>
      <c r="D53" s="155">
        <f t="shared" si="2"/>
        <v>106</v>
      </c>
      <c r="E53" s="159">
        <v>4.0</v>
      </c>
      <c r="F53" s="158">
        <f t="shared" si="40"/>
        <v>4</v>
      </c>
      <c r="Q53" s="3" t="s">
        <v>20</v>
      </c>
      <c r="R53" s="4"/>
      <c r="S53" s="5"/>
      <c r="AG53" s="138"/>
      <c r="AH53" s="126"/>
      <c r="AI53" s="126"/>
      <c r="AJ53" s="126"/>
      <c r="AK53" s="126"/>
      <c r="AL53" s="126"/>
      <c r="AM53" s="127"/>
      <c r="AN53" s="145"/>
      <c r="AO53" s="145"/>
      <c r="AP53" s="145"/>
      <c r="AQ53" s="139"/>
      <c r="AR53" s="10"/>
      <c r="AS53" s="10"/>
    </row>
    <row r="54" ht="12.75" customHeight="1">
      <c r="A54" s="155">
        <f t="shared" si="1"/>
        <v>52</v>
      </c>
      <c r="B54" s="159">
        <v>5.0</v>
      </c>
      <c r="C54" s="158">
        <f t="shared" si="41"/>
        <v>1</v>
      </c>
      <c r="D54" s="155">
        <f t="shared" si="2"/>
        <v>107</v>
      </c>
      <c r="E54" s="159">
        <v>1.0</v>
      </c>
      <c r="F54" s="158">
        <f>6-E54</f>
        <v>5</v>
      </c>
      <c r="L54" s="3" t="s">
        <v>21</v>
      </c>
      <c r="M54" s="4"/>
      <c r="N54" s="5"/>
      <c r="Q54" s="7">
        <f>SUM(C7+C36+C52+F12+F26+F41+F56+I15)</f>
        <v>26</v>
      </c>
      <c r="R54" s="8"/>
      <c r="S54" s="9"/>
      <c r="AG54" s="146" t="s">
        <v>21</v>
      </c>
      <c r="AH54" s="147"/>
      <c r="AI54" s="147"/>
      <c r="AJ54" s="147"/>
      <c r="AK54" s="147"/>
      <c r="AL54" s="148"/>
      <c r="AM54" s="139"/>
      <c r="AN54" s="140" t="s">
        <v>22</v>
      </c>
      <c r="AO54" s="14"/>
      <c r="AP54" s="15"/>
      <c r="AQ54" s="149"/>
      <c r="AR54" s="25"/>
      <c r="AS54" s="25"/>
    </row>
    <row r="55" ht="12.75" customHeight="1">
      <c r="A55" s="155">
        <f t="shared" si="1"/>
        <v>53</v>
      </c>
      <c r="B55" s="159">
        <v>3.0</v>
      </c>
      <c r="C55" s="158">
        <f t="shared" si="41"/>
        <v>3</v>
      </c>
      <c r="D55" s="155">
        <f t="shared" si="2"/>
        <v>108</v>
      </c>
      <c r="E55" s="159">
        <v>4.0</v>
      </c>
      <c r="F55" s="158">
        <f t="shared" ref="F55:F57" si="42">0+E55</f>
        <v>4</v>
      </c>
      <c r="L55" s="7">
        <f>SUM(C13+C22+C28+C56+F27+F53+F55+I24)</f>
        <v>29</v>
      </c>
      <c r="M55" s="8"/>
      <c r="N55" s="9"/>
      <c r="AG55" s="150">
        <f>L55</f>
        <v>29</v>
      </c>
      <c r="AH55" s="14"/>
      <c r="AI55" s="14"/>
      <c r="AJ55" s="14"/>
      <c r="AK55" s="14"/>
      <c r="AL55" s="151"/>
      <c r="AM55" s="152">
        <f>(((AG55-BH33)/BI33)*15)+100</f>
        <v>86.61434978</v>
      </c>
      <c r="AN55" s="143">
        <f>Q57</f>
        <v>9</v>
      </c>
      <c r="AO55" s="14"/>
      <c r="AP55" s="15"/>
      <c r="AQ55" s="153">
        <f>(((BE65-BH9)/BI9)*15)+100</f>
        <v>62.46478873</v>
      </c>
      <c r="AR55" s="26"/>
      <c r="AS55" s="26"/>
    </row>
    <row r="56" ht="12.0" customHeight="1">
      <c r="A56" s="155">
        <f t="shared" si="1"/>
        <v>54</v>
      </c>
      <c r="B56" s="159">
        <v>4.0</v>
      </c>
      <c r="C56" s="158">
        <f t="shared" ref="C56:C57" si="43">0+B56</f>
        <v>4</v>
      </c>
      <c r="D56" s="155">
        <f t="shared" si="2"/>
        <v>109</v>
      </c>
      <c r="E56" s="159">
        <v>4.0</v>
      </c>
      <c r="F56" s="158">
        <f t="shared" si="42"/>
        <v>4</v>
      </c>
      <c r="Q56" s="3" t="s">
        <v>22</v>
      </c>
      <c r="R56" s="4"/>
      <c r="S56" s="5"/>
      <c r="AG56" s="10"/>
      <c r="AH56" s="10"/>
      <c r="AI56" s="10"/>
      <c r="AJ56" s="10"/>
      <c r="AK56" s="10"/>
      <c r="AL56" s="10"/>
      <c r="AM56" s="25"/>
      <c r="AN56" s="10"/>
    </row>
    <row r="57" ht="12.0" customHeight="1">
      <c r="A57" s="155">
        <f t="shared" si="1"/>
        <v>55</v>
      </c>
      <c r="B57" s="159">
        <v>3.0</v>
      </c>
      <c r="C57" s="158">
        <f t="shared" si="43"/>
        <v>3</v>
      </c>
      <c r="D57" s="155">
        <f t="shared" si="2"/>
        <v>110</v>
      </c>
      <c r="E57" s="159">
        <v>5.0</v>
      </c>
      <c r="F57" s="158">
        <f t="shared" si="42"/>
        <v>5</v>
      </c>
      <c r="Q57" s="7">
        <f>SUM(C14+C27+C43+F4+F18+F48+I7)</f>
        <v>9</v>
      </c>
      <c r="R57" s="8"/>
      <c r="S57" s="9"/>
      <c r="AI57" s="10"/>
      <c r="AJ57" s="10"/>
      <c r="AK57" s="10"/>
      <c r="AL57" s="10"/>
      <c r="AM57" s="10"/>
      <c r="AN57" s="10"/>
      <c r="AO57" s="25"/>
      <c r="AP57" s="10"/>
    </row>
    <row r="58" ht="12.0" customHeight="1">
      <c r="A58" s="62"/>
      <c r="B58" s="62"/>
      <c r="C58" s="64">
        <f>SUM(C3:C57)</f>
        <v>183</v>
      </c>
      <c r="F58" s="65">
        <f>SUM(F3:F57)</f>
        <v>178</v>
      </c>
      <c r="AI58" s="10"/>
      <c r="AJ58" s="10"/>
      <c r="AK58" s="10"/>
      <c r="AL58" s="10"/>
      <c r="AM58" s="10"/>
      <c r="AN58" s="10"/>
      <c r="AO58" s="154"/>
      <c r="AP58" s="10"/>
    </row>
    <row r="59" ht="12.0" customHeight="1">
      <c r="A59" s="62"/>
      <c r="B59" s="62"/>
      <c r="C59" s="63"/>
      <c r="AI59" s="10"/>
      <c r="AJ59" s="10"/>
      <c r="AK59" s="10"/>
      <c r="AL59" s="10"/>
      <c r="AM59" s="10"/>
      <c r="AN59" s="10"/>
      <c r="AO59" s="25"/>
      <c r="AP59" s="10"/>
    </row>
    <row r="60" ht="12.0" customHeight="1">
      <c r="A60" s="62"/>
      <c r="B60" s="62"/>
      <c r="C60" s="63"/>
    </row>
    <row r="61" ht="12.0" customHeight="1">
      <c r="A61" s="62"/>
      <c r="B61" s="62"/>
      <c r="C61" s="63"/>
      <c r="BE61" s="66"/>
    </row>
    <row r="62" ht="12.0" customHeight="1">
      <c r="A62" s="62"/>
      <c r="B62" s="62"/>
      <c r="C62" s="63"/>
      <c r="AX62" s="27" t="s">
        <v>23</v>
      </c>
      <c r="AY62" s="27">
        <v>122.0</v>
      </c>
      <c r="BE62" s="26"/>
    </row>
    <row r="63" ht="12.0" customHeight="1">
      <c r="A63" s="62"/>
      <c r="B63" s="62"/>
      <c r="C63" s="162" t="s">
        <v>23</v>
      </c>
      <c r="D63" s="36"/>
      <c r="E63" s="37"/>
      <c r="F63" s="163">
        <f>BA6</f>
        <v>81.00320064</v>
      </c>
      <c r="AX63" s="27" t="s">
        <v>40</v>
      </c>
      <c r="AY63" s="27">
        <v>120.0</v>
      </c>
      <c r="BE63" s="67"/>
      <c r="BF63" s="10"/>
      <c r="BG63" s="10"/>
      <c r="BH63" s="10"/>
    </row>
    <row r="64" ht="12.0" customHeight="1">
      <c r="A64" s="62"/>
      <c r="B64" s="62"/>
      <c r="C64" s="164" t="s">
        <v>40</v>
      </c>
      <c r="D64" s="36"/>
      <c r="E64" s="37"/>
      <c r="F64" s="163">
        <f>BA26</f>
        <v>86.61434978</v>
      </c>
      <c r="AX64" s="27" t="s">
        <v>39</v>
      </c>
      <c r="AY64" s="27">
        <v>116.0</v>
      </c>
      <c r="BE64" s="25"/>
    </row>
    <row r="65" ht="12.0" customHeight="1">
      <c r="A65" s="62"/>
      <c r="B65" s="62"/>
      <c r="C65" s="164" t="s">
        <v>39</v>
      </c>
      <c r="D65" s="36"/>
      <c r="E65" s="37"/>
      <c r="F65" s="163">
        <f>BA25</f>
        <v>78.12865497</v>
      </c>
      <c r="AO65" s="67"/>
      <c r="AX65" s="27" t="s">
        <v>89</v>
      </c>
      <c r="AY65" s="27">
        <v>120.0</v>
      </c>
      <c r="BE65" s="26"/>
    </row>
    <row r="66" ht="12.0" customHeight="1">
      <c r="A66" s="62"/>
      <c r="B66" s="62"/>
      <c r="C66" s="165" t="s">
        <v>89</v>
      </c>
      <c r="D66" s="36"/>
      <c r="E66" s="37"/>
      <c r="F66" s="163">
        <f>BA24</f>
        <v>80.26315789</v>
      </c>
      <c r="AO66" s="67"/>
      <c r="AX66" s="27" t="s">
        <v>38</v>
      </c>
      <c r="AY66" s="27">
        <v>106.0</v>
      </c>
    </row>
    <row r="67" ht="12.0" customHeight="1">
      <c r="A67" s="62"/>
      <c r="B67" s="62"/>
      <c r="C67" s="164" t="s">
        <v>38</v>
      </c>
      <c r="D67" s="36"/>
      <c r="E67" s="37"/>
      <c r="F67" s="163">
        <f>BA23</f>
        <v>90.43516874</v>
      </c>
      <c r="AO67" s="68"/>
      <c r="AX67" s="27" t="s">
        <v>37</v>
      </c>
      <c r="AY67" s="27">
        <v>122.0</v>
      </c>
    </row>
    <row r="68" ht="12.0" customHeight="1">
      <c r="A68" s="62"/>
      <c r="B68" s="62"/>
      <c r="C68" s="164" t="s">
        <v>118</v>
      </c>
      <c r="D68" s="36"/>
      <c r="E68" s="37"/>
      <c r="F68" s="163">
        <f>BA22</f>
        <v>95.58510638</v>
      </c>
      <c r="AX68" s="27" t="s">
        <v>90</v>
      </c>
      <c r="AY68" s="27">
        <v>121.0</v>
      </c>
    </row>
    <row r="69" ht="12.0" customHeight="1">
      <c r="A69" s="62"/>
      <c r="B69" s="62"/>
      <c r="C69" s="166" t="s">
        <v>90</v>
      </c>
      <c r="D69" s="36"/>
      <c r="E69" s="37"/>
      <c r="F69" s="163">
        <f>BA21</f>
        <v>91.81677019</v>
      </c>
      <c r="AX69" s="27" t="s">
        <v>35</v>
      </c>
      <c r="AY69" s="27">
        <v>119.0</v>
      </c>
    </row>
    <row r="70" ht="12.0" customHeight="1">
      <c r="A70" s="62"/>
      <c r="B70" s="62"/>
      <c r="C70" s="164" t="s">
        <v>35</v>
      </c>
      <c r="D70" s="36"/>
      <c r="E70" s="37"/>
      <c r="F70" s="163">
        <f>BA20</f>
        <v>87.83950617</v>
      </c>
      <c r="AX70" s="27" t="s">
        <v>34</v>
      </c>
      <c r="AY70" s="27">
        <v>125.0</v>
      </c>
    </row>
    <row r="71" ht="12.0" customHeight="1">
      <c r="A71" s="62"/>
      <c r="B71" s="62"/>
      <c r="C71" s="164" t="s">
        <v>34</v>
      </c>
      <c r="D71" s="36"/>
      <c r="E71" s="37"/>
      <c r="F71" s="163">
        <f>BA19</f>
        <v>98.57526882</v>
      </c>
      <c r="AX71" s="27" t="s">
        <v>33</v>
      </c>
      <c r="AY71" s="27">
        <v>110.0</v>
      </c>
    </row>
    <row r="72" ht="12.0" customHeight="1">
      <c r="A72" s="62"/>
      <c r="B72" s="62"/>
      <c r="C72" s="164" t="s">
        <v>33</v>
      </c>
      <c r="D72" s="36"/>
      <c r="E72" s="37"/>
      <c r="F72" s="163">
        <f>BA18</f>
        <v>84.38043478</v>
      </c>
      <c r="AX72" s="27" t="s">
        <v>10</v>
      </c>
      <c r="AY72" s="27">
        <v>122.0</v>
      </c>
    </row>
    <row r="73" ht="12.0" customHeight="1">
      <c r="A73" s="62"/>
      <c r="B73" s="62"/>
      <c r="C73" s="166" t="s">
        <v>10</v>
      </c>
      <c r="D73" s="36"/>
      <c r="E73" s="37"/>
      <c r="F73" s="163">
        <f>BA17</f>
        <v>88.78009631</v>
      </c>
      <c r="AX73" s="27" t="s">
        <v>32</v>
      </c>
      <c r="AY73" s="27">
        <v>117.0</v>
      </c>
    </row>
    <row r="74" ht="12.0" customHeight="1">
      <c r="A74" s="62"/>
      <c r="B74" s="62"/>
      <c r="C74" s="164" t="s">
        <v>32</v>
      </c>
      <c r="D74" s="36"/>
      <c r="E74" s="37"/>
      <c r="F74" s="163">
        <f>BA16</f>
        <v>83.96551724</v>
      </c>
      <c r="AX74" s="27" t="s">
        <v>31</v>
      </c>
      <c r="AY74" s="27">
        <v>124.0</v>
      </c>
    </row>
    <row r="75" ht="12.0" customHeight="1">
      <c r="A75" s="62"/>
      <c r="B75" s="62"/>
      <c r="C75" s="164" t="s">
        <v>31</v>
      </c>
      <c r="D75" s="36"/>
      <c r="E75" s="37"/>
      <c r="F75" s="163">
        <f>BA15</f>
        <v>79.49335548</v>
      </c>
      <c r="AX75" s="27" t="s">
        <v>30</v>
      </c>
      <c r="AY75" s="27">
        <v>123.0</v>
      </c>
    </row>
    <row r="76" ht="12.0" customHeight="1">
      <c r="A76" s="62"/>
      <c r="B76" s="62"/>
      <c r="C76" s="164" t="s">
        <v>30</v>
      </c>
      <c r="D76" s="36"/>
      <c r="E76" s="37"/>
      <c r="F76" s="163">
        <f>BA14</f>
        <v>83.85441527</v>
      </c>
      <c r="AX76" s="27" t="s">
        <v>91</v>
      </c>
      <c r="AY76" s="27">
        <v>126.0</v>
      </c>
    </row>
    <row r="77" ht="12.0" customHeight="1">
      <c r="A77" s="62"/>
      <c r="B77" s="62"/>
      <c r="C77" s="166" t="s">
        <v>91</v>
      </c>
      <c r="D77" s="36"/>
      <c r="E77" s="37"/>
      <c r="F77" s="163">
        <f>BA13</f>
        <v>78.5437788</v>
      </c>
      <c r="AX77" s="27" t="s">
        <v>29</v>
      </c>
      <c r="AY77" s="27">
        <v>95.0</v>
      </c>
    </row>
    <row r="78" ht="12.0" customHeight="1">
      <c r="A78" s="62"/>
      <c r="B78" s="62"/>
      <c r="C78" s="164" t="s">
        <v>29</v>
      </c>
      <c r="D78" s="36"/>
      <c r="E78" s="37"/>
      <c r="F78" s="163">
        <f>BA12</f>
        <v>98.76116071</v>
      </c>
      <c r="AX78" s="27" t="s">
        <v>28</v>
      </c>
      <c r="AY78" s="27">
        <v>122.0</v>
      </c>
    </row>
    <row r="79" ht="12.0" customHeight="1">
      <c r="A79" s="62"/>
      <c r="B79" s="62"/>
      <c r="C79" s="164" t="s">
        <v>28</v>
      </c>
      <c r="D79" s="36"/>
      <c r="E79" s="37"/>
      <c r="F79" s="163">
        <f>BA11</f>
        <v>86.03550296</v>
      </c>
      <c r="AX79" s="27" t="s">
        <v>27</v>
      </c>
      <c r="AY79" s="27">
        <v>115.0</v>
      </c>
    </row>
    <row r="80" ht="12.0" customHeight="1">
      <c r="A80" s="62"/>
      <c r="B80" s="62"/>
      <c r="C80" s="167" t="s">
        <v>27</v>
      </c>
      <c r="D80" s="36"/>
      <c r="E80" s="37"/>
      <c r="F80" s="163">
        <f>BA10</f>
        <v>67.19047619</v>
      </c>
      <c r="AX80" s="27" t="s">
        <v>26</v>
      </c>
      <c r="AY80" s="27">
        <v>104.0</v>
      </c>
    </row>
    <row r="81" ht="12.0" customHeight="1">
      <c r="A81" s="62"/>
      <c r="B81" s="62"/>
      <c r="C81" s="164" t="s">
        <v>26</v>
      </c>
      <c r="D81" s="36"/>
      <c r="E81" s="37"/>
      <c r="F81" s="163">
        <f>BA9</f>
        <v>78.0472103</v>
      </c>
      <c r="AX81" s="27" t="s">
        <v>25</v>
      </c>
      <c r="AY81" s="27">
        <v>118.0</v>
      </c>
    </row>
    <row r="82" ht="12.0" customHeight="1">
      <c r="A82" s="62"/>
      <c r="B82" s="62"/>
      <c r="C82" s="164" t="s">
        <v>25</v>
      </c>
      <c r="D82" s="36"/>
      <c r="E82" s="37"/>
      <c r="F82" s="163">
        <f>BA8</f>
        <v>92.07386364</v>
      </c>
      <c r="AX82" s="27" t="s">
        <v>24</v>
      </c>
      <c r="AY82" s="27">
        <v>114.0</v>
      </c>
    </row>
    <row r="83" ht="12.0" customHeight="1">
      <c r="A83" s="62"/>
      <c r="B83" s="62"/>
      <c r="C83" s="166" t="s">
        <v>24</v>
      </c>
      <c r="D83" s="36"/>
      <c r="E83" s="37"/>
      <c r="F83" s="163">
        <f>BA7</f>
        <v>78.96922325</v>
      </c>
    </row>
    <row r="84" ht="12.0" customHeight="1">
      <c r="A84" s="62"/>
      <c r="B84" s="62"/>
      <c r="C84" s="63"/>
    </row>
    <row r="85" ht="12.0" customHeight="1">
      <c r="A85" s="62"/>
      <c r="B85" s="62"/>
      <c r="C85" s="63"/>
    </row>
    <row r="86" ht="12.0" customHeight="1">
      <c r="A86" s="62"/>
      <c r="B86" s="62"/>
      <c r="C86" s="63"/>
    </row>
    <row r="87" ht="12.0" customHeight="1">
      <c r="A87" s="62"/>
      <c r="B87" s="62"/>
      <c r="C87" s="63"/>
    </row>
    <row r="88" ht="12.0" customHeight="1">
      <c r="A88" s="62"/>
      <c r="B88" s="62"/>
      <c r="C88" s="63"/>
    </row>
    <row r="89" ht="12.0" customHeight="1">
      <c r="A89" s="62"/>
      <c r="B89" s="62"/>
      <c r="C89" s="63"/>
    </row>
    <row r="90" ht="12.0" customHeight="1">
      <c r="A90" s="62"/>
      <c r="B90" s="62"/>
      <c r="C90" s="63"/>
    </row>
    <row r="91" ht="12.0" customHeight="1">
      <c r="A91" s="62"/>
      <c r="B91" s="62"/>
      <c r="C91" s="63"/>
    </row>
    <row r="92" ht="12.0" customHeight="1">
      <c r="A92" s="62"/>
      <c r="B92" s="62"/>
      <c r="C92" s="63"/>
    </row>
    <row r="93" ht="12.0" customHeight="1">
      <c r="A93" s="62"/>
      <c r="B93" s="62"/>
      <c r="C93" s="63"/>
    </row>
    <row r="94" ht="12.0" customHeight="1">
      <c r="A94" s="62"/>
      <c r="B94" s="62"/>
      <c r="C94" s="63"/>
    </row>
    <row r="95" ht="12.0" customHeight="1">
      <c r="A95" s="62"/>
      <c r="B95" s="62"/>
      <c r="C95" s="63"/>
    </row>
    <row r="96" ht="12.0" customHeight="1">
      <c r="A96" s="62"/>
      <c r="B96" s="62"/>
      <c r="C96" s="63"/>
    </row>
    <row r="97" ht="12.0" customHeight="1">
      <c r="A97" s="62"/>
      <c r="B97" s="62"/>
      <c r="C97" s="63"/>
    </row>
    <row r="98" ht="12.0" customHeight="1">
      <c r="A98" s="62"/>
      <c r="B98" s="62"/>
      <c r="C98" s="63"/>
    </row>
    <row r="99" ht="12.0" customHeight="1">
      <c r="A99" s="62"/>
      <c r="B99" s="62"/>
      <c r="C99" s="63"/>
    </row>
    <row r="100" ht="12.0" customHeight="1">
      <c r="A100" s="62"/>
      <c r="B100" s="62"/>
      <c r="C100" s="63"/>
    </row>
    <row r="101" ht="12.0" customHeight="1">
      <c r="A101" s="62"/>
      <c r="B101" s="62"/>
      <c r="C101" s="63"/>
    </row>
    <row r="102" ht="12.0" customHeight="1">
      <c r="A102" s="62"/>
      <c r="B102" s="62"/>
      <c r="C102" s="63"/>
    </row>
    <row r="103" ht="12.0" customHeight="1">
      <c r="A103" s="62"/>
      <c r="B103" s="62"/>
      <c r="C103" s="63"/>
    </row>
    <row r="104" ht="12.0" customHeight="1">
      <c r="A104" s="62"/>
      <c r="B104" s="62"/>
      <c r="C104" s="63"/>
    </row>
    <row r="105" ht="12.0" customHeight="1">
      <c r="A105" s="62"/>
      <c r="B105" s="62"/>
      <c r="C105" s="63"/>
    </row>
    <row r="106" ht="12.0" customHeight="1">
      <c r="A106" s="62"/>
      <c r="B106" s="62"/>
      <c r="C106" s="63"/>
    </row>
    <row r="107" ht="12.0" customHeight="1">
      <c r="A107" s="62"/>
      <c r="B107" s="62"/>
      <c r="C107" s="63"/>
    </row>
    <row r="108" ht="12.0" customHeight="1">
      <c r="A108" s="62"/>
      <c r="B108" s="62"/>
      <c r="C108" s="63"/>
    </row>
    <row r="109" ht="12.0" customHeight="1">
      <c r="A109" s="62"/>
      <c r="B109" s="62"/>
      <c r="C109" s="63"/>
    </row>
    <row r="110" ht="12.0" customHeight="1">
      <c r="A110" s="62"/>
      <c r="B110" s="62"/>
      <c r="C110" s="63"/>
    </row>
    <row r="111" ht="12.0" customHeight="1">
      <c r="A111" s="62"/>
      <c r="B111" s="62"/>
      <c r="C111" s="63"/>
    </row>
    <row r="112" ht="12.0" customHeight="1">
      <c r="A112" s="62"/>
      <c r="B112" s="62"/>
      <c r="C112" s="63"/>
    </row>
    <row r="113" ht="12.0" customHeight="1">
      <c r="A113" s="62"/>
      <c r="B113" s="62"/>
      <c r="C113" s="63"/>
    </row>
    <row r="114" ht="12.0" customHeight="1">
      <c r="A114" s="62"/>
      <c r="B114" s="62"/>
      <c r="C114" s="63"/>
      <c r="M114" s="27" t="s">
        <v>122</v>
      </c>
    </row>
    <row r="115" ht="12.0" customHeight="1">
      <c r="A115" s="62"/>
      <c r="B115" s="62"/>
      <c r="C115" s="63"/>
      <c r="M115" s="27" t="s">
        <v>123</v>
      </c>
      <c r="N115" s="69"/>
    </row>
    <row r="116" ht="12.0" customHeight="1">
      <c r="A116" s="62"/>
      <c r="B116" s="62"/>
      <c r="C116" s="63"/>
      <c r="M116" s="27" t="s">
        <v>124</v>
      </c>
    </row>
    <row r="117" ht="12.0" customHeight="1">
      <c r="A117" s="62"/>
      <c r="B117" s="62"/>
      <c r="C117" s="63"/>
    </row>
    <row r="118" ht="12.0" customHeight="1">
      <c r="A118" s="62"/>
      <c r="B118" s="62"/>
      <c r="C118" s="63"/>
      <c r="M118" s="27" t="s">
        <v>125</v>
      </c>
      <c r="N118" s="70"/>
    </row>
    <row r="119" ht="12.0" customHeight="1">
      <c r="A119" s="62"/>
      <c r="B119" s="62"/>
      <c r="C119" s="63"/>
    </row>
    <row r="120" ht="12.0" customHeight="1">
      <c r="A120" s="62"/>
      <c r="B120" s="62"/>
      <c r="C120" s="63"/>
    </row>
    <row r="121" ht="12.0" customHeight="1">
      <c r="A121" s="62"/>
      <c r="B121" s="62"/>
      <c r="C121" s="63"/>
    </row>
    <row r="122" ht="12.0" customHeight="1">
      <c r="A122" s="62"/>
      <c r="B122" s="62"/>
      <c r="C122" s="63"/>
    </row>
    <row r="123" ht="12.0" customHeight="1">
      <c r="A123" s="62"/>
      <c r="B123" s="62"/>
      <c r="C123" s="63"/>
    </row>
    <row r="124" ht="12.0" customHeight="1">
      <c r="A124" s="62"/>
      <c r="B124" s="62"/>
      <c r="C124" s="63"/>
    </row>
    <row r="125" ht="12.0" customHeight="1">
      <c r="A125" s="62"/>
      <c r="B125" s="62"/>
      <c r="C125" s="63"/>
    </row>
    <row r="126" ht="12.0" customHeight="1">
      <c r="A126" s="62"/>
      <c r="B126" s="62"/>
      <c r="C126" s="63"/>
    </row>
    <row r="127" ht="12.0" customHeight="1">
      <c r="A127" s="62"/>
      <c r="B127" s="62"/>
      <c r="C127" s="63"/>
    </row>
    <row r="128" ht="12.0" customHeight="1">
      <c r="A128" s="62"/>
      <c r="B128" s="62"/>
      <c r="C128" s="71"/>
    </row>
    <row r="129" ht="12.0" customHeight="1">
      <c r="A129" s="62"/>
      <c r="B129" s="62"/>
      <c r="C129" s="63"/>
    </row>
    <row r="130" ht="12.0" customHeight="1">
      <c r="A130" s="62"/>
      <c r="B130" s="62"/>
      <c r="C130" s="63"/>
    </row>
    <row r="131" ht="12.0" customHeight="1">
      <c r="A131" s="62"/>
      <c r="B131" s="62"/>
      <c r="C131" s="63"/>
    </row>
    <row r="132" ht="12.0" customHeight="1">
      <c r="A132" s="62"/>
      <c r="B132" s="62"/>
      <c r="C132" s="63"/>
    </row>
    <row r="133" ht="12.0" customHeight="1">
      <c r="A133" s="62"/>
      <c r="B133" s="62"/>
      <c r="C133" s="63"/>
    </row>
    <row r="134" ht="12.0" customHeight="1">
      <c r="A134" s="62"/>
      <c r="B134" s="62"/>
      <c r="C134" s="63"/>
    </row>
    <row r="135" ht="12.0" customHeight="1">
      <c r="A135" s="62"/>
      <c r="B135" s="62"/>
      <c r="C135" s="63"/>
    </row>
    <row r="136" ht="12.0" customHeight="1">
      <c r="C136" s="72"/>
    </row>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mergeCells count="123">
    <mergeCell ref="AG5:AL5"/>
    <mergeCell ref="AG7:AL7"/>
    <mergeCell ref="AG10:AL10"/>
    <mergeCell ref="AG13:AL13"/>
    <mergeCell ref="AG14:AL14"/>
    <mergeCell ref="AG16:AL16"/>
    <mergeCell ref="AG17:AL17"/>
    <mergeCell ref="AG21:AL21"/>
    <mergeCell ref="AG22:AL22"/>
    <mergeCell ref="AG28:AL28"/>
    <mergeCell ref="AG32:AL32"/>
    <mergeCell ref="AG33:AL33"/>
    <mergeCell ref="AG36:AL36"/>
    <mergeCell ref="AG38:AL38"/>
    <mergeCell ref="AN51:AP51"/>
    <mergeCell ref="AN52:AP52"/>
    <mergeCell ref="AN54:AP54"/>
    <mergeCell ref="AN55:AP55"/>
    <mergeCell ref="AG54:AL54"/>
    <mergeCell ref="AG55:AL55"/>
    <mergeCell ref="BE61:BH61"/>
    <mergeCell ref="BE62:BH62"/>
    <mergeCell ref="BE64:BH64"/>
    <mergeCell ref="BE65:BH65"/>
    <mergeCell ref="AG39:AL39"/>
    <mergeCell ref="AG43:AL43"/>
    <mergeCell ref="AG44:AL44"/>
    <mergeCell ref="AG46:AL46"/>
    <mergeCell ref="AG47:AL47"/>
    <mergeCell ref="AG51:AL51"/>
    <mergeCell ref="AG52:AL52"/>
    <mergeCell ref="L7:N7"/>
    <mergeCell ref="L8:N8"/>
    <mergeCell ref="L10:N10"/>
    <mergeCell ref="L11:N11"/>
    <mergeCell ref="L13:N13"/>
    <mergeCell ref="L14:N14"/>
    <mergeCell ref="L16:N16"/>
    <mergeCell ref="L25:N25"/>
    <mergeCell ref="L27:N27"/>
    <mergeCell ref="L28:N28"/>
    <mergeCell ref="L30:N30"/>
    <mergeCell ref="L32:N32"/>
    <mergeCell ref="L33:N33"/>
    <mergeCell ref="L35:N35"/>
    <mergeCell ref="L36:N36"/>
    <mergeCell ref="L38:N38"/>
    <mergeCell ref="L39:N39"/>
    <mergeCell ref="L41:N41"/>
    <mergeCell ref="L43:N43"/>
    <mergeCell ref="L44:N44"/>
    <mergeCell ref="L46:N46"/>
    <mergeCell ref="L47:N47"/>
    <mergeCell ref="L49:N49"/>
    <mergeCell ref="L51:N51"/>
    <mergeCell ref="L52:N52"/>
    <mergeCell ref="Q53:S53"/>
    <mergeCell ref="L54:N54"/>
    <mergeCell ref="L55:N55"/>
    <mergeCell ref="Q54:S54"/>
    <mergeCell ref="Q56:S56"/>
    <mergeCell ref="Q57:S57"/>
    <mergeCell ref="C63:E63"/>
    <mergeCell ref="C64:E64"/>
    <mergeCell ref="C65:E65"/>
    <mergeCell ref="C66:E66"/>
    <mergeCell ref="C67:E67"/>
    <mergeCell ref="C68:E68"/>
    <mergeCell ref="C69:E69"/>
    <mergeCell ref="C70:E70"/>
    <mergeCell ref="C71:E71"/>
    <mergeCell ref="C72:E72"/>
    <mergeCell ref="C73:E73"/>
    <mergeCell ref="C81:E81"/>
    <mergeCell ref="C82:E82"/>
    <mergeCell ref="C83:E83"/>
    <mergeCell ref="C74:E74"/>
    <mergeCell ref="C75:E75"/>
    <mergeCell ref="C76:E76"/>
    <mergeCell ref="C77:E77"/>
    <mergeCell ref="C78:E78"/>
    <mergeCell ref="C79:E79"/>
    <mergeCell ref="C80:E80"/>
    <mergeCell ref="V2:AB3"/>
    <mergeCell ref="V9:AC9"/>
    <mergeCell ref="L2:N2"/>
    <mergeCell ref="L4:N4"/>
    <mergeCell ref="AG4:AL4"/>
    <mergeCell ref="L5:N5"/>
    <mergeCell ref="AV6:AY6"/>
    <mergeCell ref="AV7:AY7"/>
    <mergeCell ref="AV8:AY8"/>
    <mergeCell ref="AV9:AY9"/>
    <mergeCell ref="AV10:AY10"/>
    <mergeCell ref="AV11:AY11"/>
    <mergeCell ref="AV12:AY12"/>
    <mergeCell ref="AV13:AY13"/>
    <mergeCell ref="AV14:AY14"/>
    <mergeCell ref="AV15:AY15"/>
    <mergeCell ref="L17:N17"/>
    <mergeCell ref="L19:N19"/>
    <mergeCell ref="V20:AC20"/>
    <mergeCell ref="AV23:AY23"/>
    <mergeCell ref="AV24:AY24"/>
    <mergeCell ref="AV25:AY25"/>
    <mergeCell ref="AV26:AY26"/>
    <mergeCell ref="AV16:AY16"/>
    <mergeCell ref="AV17:AY17"/>
    <mergeCell ref="AV18:AY18"/>
    <mergeCell ref="AV19:AY19"/>
    <mergeCell ref="AV20:AY20"/>
    <mergeCell ref="AV21:AY21"/>
    <mergeCell ref="AV22:AY22"/>
    <mergeCell ref="W34:AC34"/>
    <mergeCell ref="W35:AC35"/>
    <mergeCell ref="AG35:AL35"/>
    <mergeCell ref="L21:N21"/>
    <mergeCell ref="L22:N22"/>
    <mergeCell ref="L24:N24"/>
    <mergeCell ref="AG24:AL24"/>
    <mergeCell ref="AG25:AL25"/>
    <mergeCell ref="V27:AC27"/>
    <mergeCell ref="AG27:AL2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2000-01-08T23:36:18Z</dcterms:created>
  <dc:creator>Martin Castellano</dc:creator>
</cp:coreProperties>
</file>