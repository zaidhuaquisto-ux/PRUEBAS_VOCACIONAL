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bilidades sociales" sheetId="1" r:id="rId4"/>
    <sheet state="visible" name="Irritabilidad" sheetId="2" r:id="rId5"/>
    <sheet state="visible" name="Hoja2" sheetId="3" r:id="rId6"/>
    <sheet state="visible" name="Hoja3" sheetId="4" r:id="rId7"/>
  </sheets>
  <definedNames/>
  <calcPr/>
  <extLst>
    <ext uri="GoogleSheetsCustomDataVersion1">
      <go:sheetsCustomData xmlns:go="http://customooxmlschemas.google.com/" r:id="rId8" roundtripDataSignature="AMtx7mjdOGnFKtqL9TnyQg/GXfUaqdKJFA=="/>
    </ext>
  </extLst>
</workbook>
</file>

<file path=xl/sharedStrings.xml><?xml version="1.0" encoding="utf-8"?>
<sst xmlns="http://schemas.openxmlformats.org/spreadsheetml/2006/main" count="13" uniqueCount="8">
  <si>
    <t>HABILIDAD</t>
  </si>
  <si>
    <t>N</t>
  </si>
  <si>
    <t>RV</t>
  </si>
  <si>
    <t>AV</t>
  </si>
  <si>
    <t>AM</t>
  </si>
  <si>
    <t>S</t>
  </si>
  <si>
    <t>TOTAL</t>
  </si>
  <si>
    <t>ESTADO DE ANIMO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</si>
</sst>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1.0"/>
      <color theme="1"/>
      <name val="Calibri"/>
    </font>
    <font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0D9"/>
        <bgColor rgb="FFCCC0D9"/>
      </patternFill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</fills>
  <borders count="40">
    <border/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/>
      <top/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2" numFmtId="0" xfId="0" applyFont="1"/>
    <xf borderId="5" fillId="2" fontId="1" numFmtId="0" xfId="0" applyBorder="1" applyFill="1" applyFont="1"/>
    <xf borderId="6" fillId="2" fontId="1" numFmtId="0" xfId="0" applyBorder="1" applyFont="1"/>
    <xf borderId="5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9" fillId="2" fontId="1" numFmtId="0" xfId="0" applyBorder="1" applyFont="1"/>
    <xf borderId="10" fillId="2" fontId="1" numFmtId="0" xfId="0" applyBorder="1" applyFont="1"/>
    <xf borderId="7" fillId="2" fontId="1" numFmtId="0" xfId="0" applyBorder="1" applyFont="1"/>
    <xf borderId="8" fillId="2" fontId="1" numFmtId="0" xfId="0" applyBorder="1" applyFont="1"/>
    <xf borderId="11" fillId="2" fontId="1" numFmtId="0" xfId="0" applyBorder="1" applyFont="1"/>
    <xf borderId="12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shrinkToFit="0" vertical="center" wrapText="1"/>
    </xf>
    <xf borderId="14" fillId="2" fontId="1" numFmtId="0" xfId="0" applyBorder="1" applyFont="1"/>
    <xf borderId="15" fillId="2" fontId="1" numFmtId="0" xfId="0" applyBorder="1" applyFont="1"/>
    <xf borderId="14" fillId="2" fontId="1" numFmtId="0" xfId="0" applyAlignment="1" applyBorder="1" applyFont="1">
      <alignment horizontal="center"/>
    </xf>
    <xf borderId="16" fillId="2" fontId="1" numFmtId="0" xfId="0" applyAlignment="1" applyBorder="1" applyFont="1">
      <alignment horizontal="center"/>
    </xf>
    <xf borderId="17" fillId="2" fontId="1" numFmtId="0" xfId="0" applyAlignment="1" applyBorder="1" applyFont="1">
      <alignment horizontal="center"/>
    </xf>
    <xf borderId="18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2" fontId="1" numFmtId="0" xfId="0" applyBorder="1" applyFont="1"/>
    <xf borderId="22" fillId="2" fontId="1" numFmtId="0" xfId="0" applyBorder="1" applyFont="1"/>
    <xf borderId="21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24" fillId="2" fontId="1" numFmtId="0" xfId="0" applyAlignment="1" applyBorder="1" applyFont="1">
      <alignment horizontal="center"/>
    </xf>
    <xf borderId="25" fillId="2" fontId="1" numFmtId="0" xfId="0" applyBorder="1" applyFont="1"/>
    <xf borderId="23" fillId="2" fontId="1" numFmtId="0" xfId="0" applyBorder="1" applyFont="1"/>
    <xf borderId="24" fillId="2" fontId="1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3" fontId="1" numFmtId="0" xfId="0" applyBorder="1" applyFill="1" applyFont="1"/>
    <xf borderId="29" fillId="3" fontId="1" numFmtId="0" xfId="0" applyBorder="1" applyFont="1"/>
    <xf borderId="28" fillId="3" fontId="1" numFmtId="0" xfId="0" applyAlignment="1" applyBorder="1" applyFont="1">
      <alignment horizontal="center"/>
    </xf>
    <xf borderId="30" fillId="3" fontId="1" numFmtId="0" xfId="0" applyAlignment="1" applyBorder="1" applyFont="1">
      <alignment horizontal="center"/>
    </xf>
    <xf borderId="31" fillId="3" fontId="1" numFmtId="0" xfId="0" applyAlignment="1" applyBorder="1" applyFont="1">
      <alignment horizontal="center"/>
    </xf>
    <xf borderId="9" fillId="3" fontId="1" numFmtId="0" xfId="0" applyBorder="1" applyFont="1"/>
    <xf borderId="18" fillId="3" fontId="1" numFmtId="0" xfId="0" applyBorder="1" applyFont="1"/>
    <xf borderId="30" fillId="3" fontId="1" numFmtId="0" xfId="0" applyBorder="1" applyFont="1"/>
    <xf borderId="31" fillId="3" fontId="1" numFmtId="0" xfId="0" applyBorder="1" applyFont="1"/>
    <xf borderId="11" fillId="3" fontId="1" numFmtId="0" xfId="0" applyBorder="1" applyFont="1"/>
    <xf borderId="12" fillId="3" fontId="1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shrinkToFit="0" vertical="center" wrapText="1"/>
    </xf>
    <xf borderId="14" fillId="3" fontId="1" numFmtId="0" xfId="0" applyBorder="1" applyFont="1"/>
    <xf borderId="15" fillId="3" fontId="1" numFmtId="0" xfId="0" applyBorder="1" applyFont="1"/>
    <xf borderId="14" fillId="3" fontId="1" numFmtId="0" xfId="0" applyAlignment="1" applyBorder="1" applyFont="1">
      <alignment horizontal="center"/>
    </xf>
    <xf borderId="16" fillId="3" fontId="1" numFmtId="0" xfId="0" applyAlignment="1" applyBorder="1" applyFont="1">
      <alignment horizontal="center"/>
    </xf>
    <xf borderId="17" fillId="3" fontId="1" numFmtId="0" xfId="0" applyAlignment="1" applyBorder="1" applyFont="1">
      <alignment horizontal="center"/>
    </xf>
    <xf borderId="16" fillId="3" fontId="1" numFmtId="0" xfId="0" applyBorder="1" applyFont="1"/>
    <xf borderId="17" fillId="3" fontId="1" numFmtId="0" xfId="0" applyBorder="1" applyFont="1"/>
    <xf borderId="32" fillId="3" fontId="1" numFmtId="0" xfId="0" applyBorder="1" applyFont="1"/>
    <xf borderId="33" fillId="3" fontId="1" numFmtId="0" xfId="0" applyBorder="1" applyFont="1"/>
    <xf borderId="34" fillId="3" fontId="1" numFmtId="0" xfId="0" applyBorder="1" applyFont="1"/>
    <xf borderId="33" fillId="3" fontId="1" numFmtId="0" xfId="0" applyAlignment="1" applyBorder="1" applyFont="1">
      <alignment horizontal="center"/>
    </xf>
    <xf borderId="35" fillId="3" fontId="1" numFmtId="0" xfId="0" applyAlignment="1" applyBorder="1" applyFont="1">
      <alignment horizontal="center"/>
    </xf>
    <xf borderId="36" fillId="3" fontId="1" numFmtId="0" xfId="0" applyAlignment="1" applyBorder="1" applyFont="1">
      <alignment horizontal="center"/>
    </xf>
    <xf borderId="35" fillId="3" fontId="1" numFmtId="0" xfId="0" applyBorder="1" applyFont="1"/>
    <xf borderId="36" fillId="3" fontId="1" numFmtId="0" xfId="0" applyBorder="1" applyFont="1"/>
    <xf borderId="37" fillId="3" fontId="1" numFmtId="0" xfId="0" applyBorder="1" applyFont="1"/>
    <xf borderId="38" fillId="0" fontId="3" numFmtId="0" xfId="0" applyBorder="1" applyFont="1"/>
    <xf borderId="5" fillId="4" fontId="1" numFmtId="0" xfId="0" applyBorder="1" applyFill="1" applyFont="1"/>
    <xf borderId="6" fillId="4" fontId="1" numFmtId="0" xfId="0" applyBorder="1" applyFont="1"/>
    <xf borderId="5" fillId="4" fontId="1" numFmtId="0" xfId="0" applyAlignment="1" applyBorder="1" applyFont="1">
      <alignment horizontal="center"/>
    </xf>
    <xf borderId="7" fillId="4" fontId="1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9" fillId="4" fontId="1" numFmtId="0" xfId="0" applyBorder="1" applyFont="1"/>
    <xf borderId="10" fillId="4" fontId="1" numFmtId="0" xfId="0" applyBorder="1" applyFont="1"/>
    <xf borderId="7" fillId="4" fontId="1" numFmtId="0" xfId="0" applyBorder="1" applyFont="1"/>
    <xf borderId="8" fillId="4" fontId="1" numFmtId="0" xfId="0" applyBorder="1" applyFont="1"/>
    <xf borderId="11" fillId="4" fontId="1" numFmtId="0" xfId="0" applyBorder="1" applyFont="1"/>
    <xf borderId="12" fillId="4" fontId="1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center" shrinkToFit="0" vertical="center" wrapText="1"/>
    </xf>
    <xf borderId="14" fillId="4" fontId="1" numFmtId="0" xfId="0" applyBorder="1" applyFont="1"/>
    <xf borderId="15" fillId="4" fontId="1" numFmtId="0" xfId="0" applyBorder="1" applyFont="1"/>
    <xf borderId="14" fillId="4" fontId="1" numFmtId="0" xfId="0" applyAlignment="1" applyBorder="1" applyFont="1">
      <alignment horizontal="center"/>
    </xf>
    <xf borderId="16" fillId="4" fontId="1" numFmtId="0" xfId="0" applyAlignment="1" applyBorder="1" applyFont="1">
      <alignment horizontal="center"/>
    </xf>
    <xf borderId="17" fillId="4" fontId="1" numFmtId="0" xfId="0" applyAlignment="1" applyBorder="1" applyFont="1">
      <alignment horizontal="center"/>
    </xf>
    <xf borderId="18" fillId="4" fontId="1" numFmtId="0" xfId="0" applyBorder="1" applyFont="1"/>
    <xf borderId="16" fillId="4" fontId="1" numFmtId="0" xfId="0" applyBorder="1" applyFont="1"/>
    <xf borderId="17" fillId="4" fontId="1" numFmtId="0" xfId="0" applyBorder="1" applyFont="1"/>
    <xf borderId="32" fillId="4" fontId="1" numFmtId="0" xfId="0" applyBorder="1" applyFont="1"/>
    <xf borderId="21" fillId="4" fontId="1" numFmtId="0" xfId="0" applyBorder="1" applyFont="1"/>
    <xf borderId="22" fillId="4" fontId="1" numFmtId="0" xfId="0" applyBorder="1" applyFont="1"/>
    <xf borderId="21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4" fontId="1" numFmtId="0" xfId="0" applyAlignment="1" applyBorder="1" applyFont="1">
      <alignment horizontal="center"/>
    </xf>
    <xf borderId="25" fillId="4" fontId="1" numFmtId="0" xfId="0" applyBorder="1" applyFont="1"/>
    <xf borderId="23" fillId="4" fontId="1" numFmtId="0" xfId="0" applyBorder="1" applyFont="1"/>
    <xf borderId="24" fillId="4" fontId="1" numFmtId="0" xfId="0" applyBorder="1" applyFont="1"/>
    <xf borderId="37" fillId="4" fontId="1" numFmtId="0" xfId="0" applyBorder="1" applyFont="1"/>
    <xf borderId="28" fillId="5" fontId="1" numFmtId="0" xfId="0" applyBorder="1" applyFill="1" applyFont="1"/>
    <xf borderId="29" fillId="5" fontId="1" numFmtId="0" xfId="0" applyBorder="1" applyFont="1"/>
    <xf borderId="28" fillId="5" fontId="1" numFmtId="0" xfId="0" applyAlignment="1" applyBorder="1" applyFont="1">
      <alignment horizontal="center"/>
    </xf>
    <xf borderId="30" fillId="5" fontId="1" numFmtId="0" xfId="0" applyAlignment="1" applyBorder="1" applyFont="1">
      <alignment horizontal="center"/>
    </xf>
    <xf borderId="31" fillId="5" fontId="1" numFmtId="0" xfId="0" applyAlignment="1" applyBorder="1" applyFont="1">
      <alignment horizontal="center"/>
    </xf>
    <xf borderId="9" fillId="5" fontId="1" numFmtId="0" xfId="0" applyBorder="1" applyFont="1"/>
    <xf borderId="18" fillId="5" fontId="1" numFmtId="0" xfId="0" applyBorder="1" applyFont="1"/>
    <xf borderId="30" fillId="5" fontId="1" numFmtId="0" xfId="0" applyBorder="1" applyFont="1"/>
    <xf borderId="31" fillId="5" fontId="1" numFmtId="0" xfId="0" applyBorder="1" applyFont="1"/>
    <xf borderId="11" fillId="5" fontId="1" numFmtId="0" xfId="0" applyBorder="1" applyFont="1"/>
    <xf borderId="39" fillId="5" fontId="1" numFmtId="0" xfId="0" applyAlignment="1" applyBorder="1" applyFont="1">
      <alignment horizontal="center" vertical="center"/>
    </xf>
    <xf borderId="13" fillId="5" fontId="1" numFmtId="0" xfId="0" applyAlignment="1" applyBorder="1" applyFont="1">
      <alignment horizontal="center" shrinkToFit="0" vertical="center" wrapText="1"/>
    </xf>
    <xf borderId="14" fillId="5" fontId="1" numFmtId="0" xfId="0" applyBorder="1" applyFont="1"/>
    <xf borderId="15" fillId="5" fontId="1" numFmtId="0" xfId="0" applyBorder="1" applyFont="1"/>
    <xf borderId="14" fillId="5" fontId="1" numFmtId="0" xfId="0" applyAlignment="1" applyBorder="1" applyFont="1">
      <alignment horizontal="center"/>
    </xf>
    <xf borderId="16" fillId="5" fontId="1" numFmtId="0" xfId="0" applyAlignment="1" applyBorder="1" applyFont="1">
      <alignment horizontal="center"/>
    </xf>
    <xf borderId="17" fillId="5" fontId="1" numFmtId="0" xfId="0" applyAlignment="1" applyBorder="1" applyFont="1">
      <alignment horizontal="center"/>
    </xf>
    <xf borderId="16" fillId="5" fontId="1" numFmtId="0" xfId="0" applyBorder="1" applyFont="1"/>
    <xf borderId="17" fillId="5" fontId="1" numFmtId="0" xfId="0" applyBorder="1" applyFont="1"/>
    <xf borderId="32" fillId="5" fontId="1" numFmtId="0" xfId="0" applyBorder="1" applyFont="1"/>
    <xf borderId="21" fillId="5" fontId="1" numFmtId="0" xfId="0" applyBorder="1" applyFont="1"/>
    <xf borderId="22" fillId="5" fontId="1" numFmtId="0" xfId="0" applyBorder="1" applyFont="1"/>
    <xf borderId="21" fillId="5" fontId="1" numFmtId="0" xfId="0" applyAlignment="1" applyBorder="1" applyFont="1">
      <alignment horizontal="center"/>
    </xf>
    <xf borderId="23" fillId="5" fontId="1" numFmtId="0" xfId="0" applyAlignment="1" applyBorder="1" applyFont="1">
      <alignment horizontal="center"/>
    </xf>
    <xf borderId="24" fillId="5" fontId="1" numFmtId="0" xfId="0" applyAlignment="1" applyBorder="1" applyFont="1">
      <alignment horizontal="center"/>
    </xf>
    <xf borderId="25" fillId="5" fontId="1" numFmtId="0" xfId="0" applyBorder="1" applyFont="1"/>
    <xf borderId="23" fillId="5" fontId="1" numFmtId="0" xfId="0" applyBorder="1" applyFont="1"/>
    <xf borderId="24" fillId="5" fontId="1" numFmtId="0" xfId="0" applyBorder="1" applyFont="1"/>
    <xf borderId="37" fillId="5" fontId="1" numFmtId="0" xfId="0" applyBorder="1" applyFont="1"/>
    <xf borderId="13" fillId="2" fontId="1" numFmtId="0" xfId="0" applyAlignment="1" applyBorder="1" applyFont="1">
      <alignment horizontal="center" vertical="center"/>
    </xf>
    <xf borderId="16" fillId="6" fontId="1" numFmtId="0" xfId="0" applyBorder="1" applyFill="1" applyFont="1"/>
    <xf borderId="13" fillId="6" fontId="1" numFmtId="0" xfId="0" applyAlignment="1" applyBorder="1" applyFont="1">
      <alignment horizontal="center" vertical="center"/>
    </xf>
    <xf borderId="16" fillId="7" fontId="1" numFmtId="0" xfId="0" applyBorder="1" applyFill="1" applyFont="1"/>
    <xf borderId="13" fillId="7" fontId="1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4.13"/>
    <col customWidth="1" min="3" max="3" width="29.0"/>
    <col customWidth="1" min="4" max="8" width="6.0"/>
    <col customWidth="1" hidden="1" min="9" max="9" width="8.25"/>
    <col customWidth="1" hidden="1" min="10" max="10" width="10.0"/>
    <col customWidth="1" min="11" max="15" width="2.5"/>
    <col customWidth="1" min="16" max="16" width="10.0"/>
    <col customWidth="1" min="17" max="17" width="9.25"/>
    <col customWidth="1" min="18" max="18" width="11.88"/>
    <col customWidth="1" min="19" max="26" width="9.38"/>
  </cols>
  <sheetData>
    <row r="3">
      <c r="C3" s="1" t="s">
        <v>0</v>
      </c>
      <c r="D3" s="2" t="s">
        <v>1</v>
      </c>
      <c r="E3" s="3" t="s">
        <v>2</v>
      </c>
      <c r="F3" s="3" t="s">
        <v>3</v>
      </c>
      <c r="G3" s="3" t="s">
        <v>4</v>
      </c>
      <c r="H3" s="4" t="s">
        <v>5</v>
      </c>
      <c r="J3" s="5">
        <v>1.0</v>
      </c>
    </row>
    <row r="4" ht="15.0" customHeight="1">
      <c r="B4" s="6">
        <v>1.0</v>
      </c>
      <c r="C4" s="7"/>
      <c r="D4" s="8">
        <v>0.0</v>
      </c>
      <c r="E4" s="9">
        <v>0.0</v>
      </c>
      <c r="F4" s="9">
        <v>1.0</v>
      </c>
      <c r="G4" s="9">
        <v>0.0</v>
      </c>
      <c r="H4" s="10">
        <v>0.0</v>
      </c>
      <c r="I4" s="11" t="str">
        <f t="shared" ref="I4:I45" si="1">IF(SUM(D4:H4)&gt;1,"Verifique","")</f>
        <v/>
      </c>
      <c r="J4" s="12">
        <v>0.0</v>
      </c>
      <c r="K4" s="6">
        <v>5.0</v>
      </c>
      <c r="L4" s="13">
        <v>4.0</v>
      </c>
      <c r="M4" s="13">
        <v>3.0</v>
      </c>
      <c r="N4" s="13">
        <v>2.0</v>
      </c>
      <c r="O4" s="14">
        <v>1.0</v>
      </c>
      <c r="P4" s="15">
        <f t="shared" ref="P4:P45" si="2">D4*K4+E4*L4+F4*M4+G4*N4+H4*O4</f>
        <v>3</v>
      </c>
      <c r="Q4" s="16">
        <f>SUM(P4:P15)</f>
        <v>47</v>
      </c>
      <c r="R4" s="17" t="str">
        <f>IF(Q4&lt;=20,"MUY BAJO",IF(AND(Q4&gt;=21,Q4&lt;=32),"BAJO",IF(AND(Q4&gt;=33,Q4&lt;=38),"PROMEDIO BAJO",IF(AND(Q4&gt;=39,Q4&lt;=41),"PROMEDIO",IF(AND(Q4&gt;=42,Q4&lt;=44),"PROMEDIO ALTO",IF(AND(Q4&gt;=45,Q4&lt;=49),"ALTO","MUY ALTO"))))))</f>
        <v>ALTO</v>
      </c>
    </row>
    <row r="5">
      <c r="B5" s="18">
        <v>2.0</v>
      </c>
      <c r="C5" s="19"/>
      <c r="D5" s="20">
        <v>1.0</v>
      </c>
      <c r="E5" s="21">
        <v>0.0</v>
      </c>
      <c r="F5" s="21">
        <v>0.0</v>
      </c>
      <c r="G5" s="21">
        <v>0.0</v>
      </c>
      <c r="H5" s="22">
        <v>0.0</v>
      </c>
      <c r="I5" s="11" t="str">
        <f t="shared" si="1"/>
        <v/>
      </c>
      <c r="J5" s="23"/>
      <c r="K5" s="18">
        <v>5.0</v>
      </c>
      <c r="L5" s="24">
        <v>4.0</v>
      </c>
      <c r="M5" s="24">
        <v>3.0</v>
      </c>
      <c r="N5" s="24">
        <v>2.0</v>
      </c>
      <c r="O5" s="25">
        <v>1.0</v>
      </c>
      <c r="P5" s="15">
        <f t="shared" si="2"/>
        <v>5</v>
      </c>
      <c r="Q5" s="26"/>
      <c r="R5" s="27"/>
    </row>
    <row r="6">
      <c r="B6" s="18">
        <v>3.0</v>
      </c>
      <c r="C6" s="19"/>
      <c r="D6" s="20">
        <v>0.0</v>
      </c>
      <c r="E6" s="21">
        <v>0.0</v>
      </c>
      <c r="F6" s="21">
        <v>0.0</v>
      </c>
      <c r="G6" s="21">
        <v>1.0</v>
      </c>
      <c r="H6" s="22">
        <v>0.0</v>
      </c>
      <c r="I6" s="11" t="str">
        <f t="shared" si="1"/>
        <v/>
      </c>
      <c r="J6" s="23"/>
      <c r="K6" s="18">
        <v>1.0</v>
      </c>
      <c r="L6" s="24">
        <v>2.0</v>
      </c>
      <c r="M6" s="24">
        <v>3.0</v>
      </c>
      <c r="N6" s="24">
        <v>4.0</v>
      </c>
      <c r="O6" s="25">
        <v>5.0</v>
      </c>
      <c r="P6" s="15">
        <f t="shared" si="2"/>
        <v>4</v>
      </c>
      <c r="Q6" s="26"/>
      <c r="R6" s="27"/>
    </row>
    <row r="7">
      <c r="B7" s="18">
        <v>4.0</v>
      </c>
      <c r="C7" s="19"/>
      <c r="D7" s="20">
        <v>1.0</v>
      </c>
      <c r="E7" s="21">
        <v>0.0</v>
      </c>
      <c r="F7" s="21">
        <v>0.0</v>
      </c>
      <c r="G7" s="21">
        <v>0.0</v>
      </c>
      <c r="H7" s="22">
        <v>0.0</v>
      </c>
      <c r="I7" s="11" t="str">
        <f t="shared" si="1"/>
        <v/>
      </c>
      <c r="J7" s="23">
        <f>SUM(Q4:Q45)</f>
        <v>156</v>
      </c>
      <c r="K7" s="18">
        <v>5.0</v>
      </c>
      <c r="L7" s="24">
        <v>4.0</v>
      </c>
      <c r="M7" s="24">
        <v>3.0</v>
      </c>
      <c r="N7" s="24">
        <v>2.0</v>
      </c>
      <c r="O7" s="25">
        <v>1.0</v>
      </c>
      <c r="P7" s="15">
        <f t="shared" si="2"/>
        <v>5</v>
      </c>
      <c r="Q7" s="26"/>
      <c r="R7" s="27"/>
    </row>
    <row r="8">
      <c r="B8" s="18">
        <v>5.0</v>
      </c>
      <c r="C8" s="19"/>
      <c r="D8" s="20">
        <v>0.0</v>
      </c>
      <c r="E8" s="21">
        <v>0.0</v>
      </c>
      <c r="F8" s="21">
        <v>0.0</v>
      </c>
      <c r="G8" s="21">
        <v>0.0</v>
      </c>
      <c r="H8" s="22">
        <v>1.0</v>
      </c>
      <c r="I8" s="11" t="str">
        <f t="shared" si="1"/>
        <v/>
      </c>
      <c r="J8" s="23"/>
      <c r="K8" s="18">
        <v>1.0</v>
      </c>
      <c r="L8" s="24">
        <v>2.0</v>
      </c>
      <c r="M8" s="24">
        <v>3.0</v>
      </c>
      <c r="N8" s="24">
        <v>4.0</v>
      </c>
      <c r="O8" s="25">
        <v>5.0</v>
      </c>
      <c r="P8" s="15">
        <f t="shared" si="2"/>
        <v>5</v>
      </c>
      <c r="Q8" s="26"/>
      <c r="R8" s="27"/>
    </row>
    <row r="9">
      <c r="B9" s="18">
        <v>6.0</v>
      </c>
      <c r="C9" s="19"/>
      <c r="D9" s="20">
        <v>0.0</v>
      </c>
      <c r="E9" s="21">
        <v>0.0</v>
      </c>
      <c r="F9" s="21">
        <v>0.0</v>
      </c>
      <c r="G9" s="21">
        <v>0.0</v>
      </c>
      <c r="H9" s="22">
        <v>1.0</v>
      </c>
      <c r="I9" s="11" t="str">
        <f t="shared" si="1"/>
        <v/>
      </c>
      <c r="J9" s="23"/>
      <c r="K9" s="18">
        <v>1.0</v>
      </c>
      <c r="L9" s="24">
        <v>2.0</v>
      </c>
      <c r="M9" s="24">
        <v>3.0</v>
      </c>
      <c r="N9" s="24">
        <v>4.0</v>
      </c>
      <c r="O9" s="25">
        <v>5.0</v>
      </c>
      <c r="P9" s="15">
        <f t="shared" si="2"/>
        <v>5</v>
      </c>
      <c r="Q9" s="26"/>
      <c r="R9" s="27"/>
    </row>
    <row r="10">
      <c r="B10" s="18">
        <v>7.0</v>
      </c>
      <c r="C10" s="19"/>
      <c r="D10" s="20">
        <v>0.0</v>
      </c>
      <c r="E10" s="21">
        <v>1.0</v>
      </c>
      <c r="F10" s="21">
        <v>0.0</v>
      </c>
      <c r="G10" s="21">
        <v>0.0</v>
      </c>
      <c r="H10" s="22">
        <v>0.0</v>
      </c>
      <c r="I10" s="11" t="str">
        <f t="shared" si="1"/>
        <v/>
      </c>
      <c r="J10" s="23"/>
      <c r="K10" s="18">
        <v>1.0</v>
      </c>
      <c r="L10" s="24">
        <v>2.0</v>
      </c>
      <c r="M10" s="24">
        <v>3.0</v>
      </c>
      <c r="N10" s="24">
        <v>4.0</v>
      </c>
      <c r="O10" s="25">
        <v>5.0</v>
      </c>
      <c r="P10" s="15">
        <f t="shared" si="2"/>
        <v>2</v>
      </c>
      <c r="Q10" s="26"/>
      <c r="R10" s="27"/>
    </row>
    <row r="11">
      <c r="B11" s="18">
        <v>8.0</v>
      </c>
      <c r="C11" s="19"/>
      <c r="D11" s="20">
        <v>0.0</v>
      </c>
      <c r="E11" s="21">
        <v>0.0</v>
      </c>
      <c r="F11" s="21">
        <v>1.0</v>
      </c>
      <c r="G11" s="21">
        <v>0.0</v>
      </c>
      <c r="H11" s="22">
        <v>0.0</v>
      </c>
      <c r="I11" s="11" t="str">
        <f t="shared" si="1"/>
        <v/>
      </c>
      <c r="J11" s="23"/>
      <c r="K11" s="18">
        <v>5.0</v>
      </c>
      <c r="L11" s="24">
        <v>4.0</v>
      </c>
      <c r="M11" s="24">
        <v>3.0</v>
      </c>
      <c r="N11" s="24">
        <v>2.0</v>
      </c>
      <c r="O11" s="25">
        <v>1.0</v>
      </c>
      <c r="P11" s="15">
        <f t="shared" si="2"/>
        <v>3</v>
      </c>
      <c r="Q11" s="26"/>
      <c r="R11" s="27"/>
    </row>
    <row r="12">
      <c r="B12" s="18">
        <v>9.0</v>
      </c>
      <c r="C12" s="19"/>
      <c r="D12" s="20">
        <v>0.0</v>
      </c>
      <c r="E12" s="21">
        <v>0.0</v>
      </c>
      <c r="F12" s="21">
        <v>0.0</v>
      </c>
      <c r="G12" s="21">
        <v>1.0</v>
      </c>
      <c r="H12" s="22">
        <v>0.0</v>
      </c>
      <c r="I12" s="11" t="str">
        <f t="shared" si="1"/>
        <v/>
      </c>
      <c r="J12" s="23"/>
      <c r="K12" s="18">
        <v>1.0</v>
      </c>
      <c r="L12" s="24">
        <v>2.0</v>
      </c>
      <c r="M12" s="24">
        <v>3.0</v>
      </c>
      <c r="N12" s="24">
        <v>4.0</v>
      </c>
      <c r="O12" s="25">
        <v>5.0</v>
      </c>
      <c r="P12" s="15">
        <f t="shared" si="2"/>
        <v>4</v>
      </c>
      <c r="Q12" s="26"/>
      <c r="R12" s="27"/>
    </row>
    <row r="13" ht="15.0" customHeight="1">
      <c r="B13" s="18">
        <v>10.0</v>
      </c>
      <c r="C13" s="19"/>
      <c r="D13" s="20">
        <v>1.0</v>
      </c>
      <c r="E13" s="21">
        <v>0.0</v>
      </c>
      <c r="F13" s="21">
        <v>0.0</v>
      </c>
      <c r="G13" s="21">
        <v>0.0</v>
      </c>
      <c r="H13" s="22">
        <v>0.0</v>
      </c>
      <c r="I13" s="11" t="str">
        <f t="shared" si="1"/>
        <v/>
      </c>
      <c r="J13" s="23"/>
      <c r="K13" s="18">
        <v>1.0</v>
      </c>
      <c r="L13" s="24">
        <v>2.0</v>
      </c>
      <c r="M13" s="24">
        <v>3.0</v>
      </c>
      <c r="N13" s="24">
        <v>4.0</v>
      </c>
      <c r="O13" s="25">
        <v>5.0</v>
      </c>
      <c r="P13" s="15">
        <f t="shared" si="2"/>
        <v>1</v>
      </c>
      <c r="Q13" s="26"/>
      <c r="R13" s="27"/>
    </row>
    <row r="14">
      <c r="B14" s="18">
        <v>11.0</v>
      </c>
      <c r="C14" s="19"/>
      <c r="D14" s="20">
        <v>1.0</v>
      </c>
      <c r="E14" s="21">
        <v>0.0</v>
      </c>
      <c r="F14" s="21">
        <v>0.0</v>
      </c>
      <c r="G14" s="21">
        <v>0.0</v>
      </c>
      <c r="H14" s="22">
        <v>0.0</v>
      </c>
      <c r="I14" s="11" t="str">
        <f t="shared" si="1"/>
        <v/>
      </c>
      <c r="J14" s="23"/>
      <c r="K14" s="18">
        <v>5.0</v>
      </c>
      <c r="L14" s="24">
        <v>4.0</v>
      </c>
      <c r="M14" s="24">
        <v>3.0</v>
      </c>
      <c r="N14" s="24">
        <v>2.0</v>
      </c>
      <c r="O14" s="25">
        <v>1.0</v>
      </c>
      <c r="P14" s="15">
        <f t="shared" si="2"/>
        <v>5</v>
      </c>
      <c r="Q14" s="26"/>
      <c r="R14" s="27"/>
    </row>
    <row r="15">
      <c r="B15" s="28">
        <v>12.0</v>
      </c>
      <c r="C15" s="29"/>
      <c r="D15" s="30">
        <v>0.0</v>
      </c>
      <c r="E15" s="31">
        <v>0.0</v>
      </c>
      <c r="F15" s="31">
        <v>0.0</v>
      </c>
      <c r="G15" s="31">
        <v>0.0</v>
      </c>
      <c r="H15" s="32">
        <v>1.0</v>
      </c>
      <c r="I15" s="11" t="str">
        <f t="shared" si="1"/>
        <v/>
      </c>
      <c r="J15" s="33"/>
      <c r="K15" s="28">
        <v>1.0</v>
      </c>
      <c r="L15" s="34">
        <v>2.0</v>
      </c>
      <c r="M15" s="34">
        <v>3.0</v>
      </c>
      <c r="N15" s="34">
        <v>4.0</v>
      </c>
      <c r="O15" s="35">
        <v>5.0</v>
      </c>
      <c r="P15" s="15">
        <f t="shared" si="2"/>
        <v>5</v>
      </c>
      <c r="Q15" s="36"/>
      <c r="R15" s="37"/>
    </row>
    <row r="16">
      <c r="B16" s="38">
        <v>13.0</v>
      </c>
      <c r="C16" s="39"/>
      <c r="D16" s="40">
        <v>0.0</v>
      </c>
      <c r="E16" s="41">
        <v>1.0</v>
      </c>
      <c r="F16" s="41">
        <v>0.0</v>
      </c>
      <c r="G16" s="41">
        <v>0.0</v>
      </c>
      <c r="H16" s="42">
        <v>0.0</v>
      </c>
      <c r="I16" s="43" t="str">
        <f t="shared" si="1"/>
        <v/>
      </c>
      <c r="J16" s="44"/>
      <c r="K16" s="38">
        <v>5.0</v>
      </c>
      <c r="L16" s="45">
        <v>2.0</v>
      </c>
      <c r="M16" s="45">
        <v>3.0</v>
      </c>
      <c r="N16" s="45">
        <v>4.0</v>
      </c>
      <c r="O16" s="46">
        <v>5.0</v>
      </c>
      <c r="P16" s="47">
        <f t="shared" si="2"/>
        <v>2</v>
      </c>
      <c r="Q16" s="48">
        <f>SUM(P16:P24)</f>
        <v>26</v>
      </c>
      <c r="R16" s="49" t="str">
        <f>IF(Q16&lt;19,"MUY BAJO",IF(AND(Q16&gt;=19,Q16&lt;=24),"BAJO",IF(AND(Q16&gt;=25,Q16&lt;=29),"PROMEDIO BAJO",IF(AND(Q16&gt;=30,Q16&lt;=32),"PROMEDIO",IF(AND(Q16&gt;=33,Q16&lt;=35),"PROMEDIO ALTO",IF(AND(Q16&gt;=36,Q16&lt;=39),"ALTO","MUY ALTO"))))))</f>
        <v>PROMEDIO BAJO</v>
      </c>
    </row>
    <row r="17">
      <c r="B17" s="50">
        <v>14.0</v>
      </c>
      <c r="C17" s="51"/>
      <c r="D17" s="52">
        <v>0.0</v>
      </c>
      <c r="E17" s="53">
        <v>1.0</v>
      </c>
      <c r="F17" s="53">
        <v>0.0</v>
      </c>
      <c r="G17" s="53">
        <v>0.0</v>
      </c>
      <c r="H17" s="54">
        <v>0.0</v>
      </c>
      <c r="I17" s="43" t="str">
        <f t="shared" si="1"/>
        <v/>
      </c>
      <c r="J17" s="44"/>
      <c r="K17" s="50">
        <v>1.0</v>
      </c>
      <c r="L17" s="55">
        <v>2.0</v>
      </c>
      <c r="M17" s="55">
        <v>3.0</v>
      </c>
      <c r="N17" s="55">
        <v>4.0</v>
      </c>
      <c r="O17" s="56">
        <v>5.0</v>
      </c>
      <c r="P17" s="57">
        <f t="shared" si="2"/>
        <v>2</v>
      </c>
      <c r="Q17" s="26"/>
      <c r="R17" s="27"/>
    </row>
    <row r="18">
      <c r="B18" s="50">
        <v>15.0</v>
      </c>
      <c r="C18" s="51"/>
      <c r="D18" s="52">
        <v>0.0</v>
      </c>
      <c r="E18" s="53">
        <v>0.0</v>
      </c>
      <c r="F18" s="53">
        <v>1.0</v>
      </c>
      <c r="G18" s="53">
        <v>0.0</v>
      </c>
      <c r="H18" s="54">
        <v>0.0</v>
      </c>
      <c r="I18" s="43" t="str">
        <f t="shared" si="1"/>
        <v/>
      </c>
      <c r="J18" s="44"/>
      <c r="K18" s="50">
        <v>1.0</v>
      </c>
      <c r="L18" s="55">
        <v>2.0</v>
      </c>
      <c r="M18" s="55">
        <v>3.0</v>
      </c>
      <c r="N18" s="55">
        <v>4.0</v>
      </c>
      <c r="O18" s="56">
        <v>5.0</v>
      </c>
      <c r="P18" s="57">
        <f t="shared" si="2"/>
        <v>3</v>
      </c>
      <c r="Q18" s="26"/>
      <c r="R18" s="27"/>
    </row>
    <row r="19" ht="15.0" customHeight="1">
      <c r="B19" s="50">
        <v>16.0</v>
      </c>
      <c r="C19" s="51"/>
      <c r="D19" s="52">
        <v>0.0</v>
      </c>
      <c r="E19" s="53">
        <v>0.0</v>
      </c>
      <c r="F19" s="53">
        <v>1.0</v>
      </c>
      <c r="G19" s="53">
        <v>0.0</v>
      </c>
      <c r="H19" s="54">
        <v>0.0</v>
      </c>
      <c r="I19" s="43" t="str">
        <f t="shared" si="1"/>
        <v/>
      </c>
      <c r="J19" s="44"/>
      <c r="K19" s="50">
        <v>5.0</v>
      </c>
      <c r="L19" s="55">
        <v>4.0</v>
      </c>
      <c r="M19" s="55">
        <v>3.0</v>
      </c>
      <c r="N19" s="55">
        <v>2.0</v>
      </c>
      <c r="O19" s="56">
        <v>1.0</v>
      </c>
      <c r="P19" s="57">
        <f t="shared" si="2"/>
        <v>3</v>
      </c>
      <c r="Q19" s="26"/>
      <c r="R19" s="27"/>
    </row>
    <row r="20">
      <c r="B20" s="50">
        <v>17.0</v>
      </c>
      <c r="C20" s="51"/>
      <c r="D20" s="52">
        <v>0.0</v>
      </c>
      <c r="E20" s="53">
        <v>1.0</v>
      </c>
      <c r="F20" s="53">
        <v>0.0</v>
      </c>
      <c r="G20" s="53">
        <v>0.0</v>
      </c>
      <c r="H20" s="54">
        <v>0.0</v>
      </c>
      <c r="I20" s="43" t="str">
        <f t="shared" si="1"/>
        <v/>
      </c>
      <c r="J20" s="44"/>
      <c r="K20" s="50">
        <v>1.0</v>
      </c>
      <c r="L20" s="55">
        <v>2.0</v>
      </c>
      <c r="M20" s="55">
        <v>3.0</v>
      </c>
      <c r="N20" s="55">
        <v>4.0</v>
      </c>
      <c r="O20" s="56">
        <v>5.0</v>
      </c>
      <c r="P20" s="57">
        <f t="shared" si="2"/>
        <v>2</v>
      </c>
      <c r="Q20" s="26"/>
      <c r="R20" s="27"/>
    </row>
    <row r="21" ht="15.75" customHeight="1">
      <c r="B21" s="50">
        <v>18.0</v>
      </c>
      <c r="C21" s="51"/>
      <c r="D21" s="52">
        <v>0.0</v>
      </c>
      <c r="E21" s="53">
        <v>1.0</v>
      </c>
      <c r="F21" s="53">
        <v>0.0</v>
      </c>
      <c r="G21" s="53">
        <v>0.0</v>
      </c>
      <c r="H21" s="54">
        <v>0.0</v>
      </c>
      <c r="I21" s="43" t="str">
        <f t="shared" si="1"/>
        <v/>
      </c>
      <c r="J21" s="44"/>
      <c r="K21" s="50">
        <v>1.0</v>
      </c>
      <c r="L21" s="55">
        <v>2.0</v>
      </c>
      <c r="M21" s="55">
        <v>3.0</v>
      </c>
      <c r="N21" s="55">
        <v>4.0</v>
      </c>
      <c r="O21" s="56">
        <v>5.0</v>
      </c>
      <c r="P21" s="57">
        <f t="shared" si="2"/>
        <v>2</v>
      </c>
      <c r="Q21" s="26"/>
      <c r="R21" s="27"/>
    </row>
    <row r="22" ht="15.75" customHeight="1">
      <c r="B22" s="50">
        <v>19.0</v>
      </c>
      <c r="C22" s="51"/>
      <c r="D22" s="52">
        <v>1.0</v>
      </c>
      <c r="E22" s="53">
        <v>0.0</v>
      </c>
      <c r="F22" s="53">
        <v>0.0</v>
      </c>
      <c r="G22" s="53">
        <v>0.0</v>
      </c>
      <c r="H22" s="54">
        <v>0.0</v>
      </c>
      <c r="I22" s="43" t="str">
        <f t="shared" si="1"/>
        <v/>
      </c>
      <c r="J22" s="44"/>
      <c r="K22" s="50">
        <v>5.0</v>
      </c>
      <c r="L22" s="55">
        <v>4.0</v>
      </c>
      <c r="M22" s="55">
        <v>3.0</v>
      </c>
      <c r="N22" s="55">
        <v>2.0</v>
      </c>
      <c r="O22" s="56">
        <v>1.0</v>
      </c>
      <c r="P22" s="57">
        <f t="shared" si="2"/>
        <v>5</v>
      </c>
      <c r="Q22" s="26"/>
      <c r="R22" s="27"/>
    </row>
    <row r="23" ht="15.75" customHeight="1">
      <c r="B23" s="50">
        <v>20.0</v>
      </c>
      <c r="C23" s="51"/>
      <c r="D23" s="52">
        <v>0.0</v>
      </c>
      <c r="E23" s="53">
        <v>0.0</v>
      </c>
      <c r="F23" s="53">
        <v>1.0</v>
      </c>
      <c r="G23" s="53">
        <v>0.0</v>
      </c>
      <c r="H23" s="54">
        <v>0.0</v>
      </c>
      <c r="I23" s="43" t="str">
        <f t="shared" si="1"/>
        <v/>
      </c>
      <c r="J23" s="44"/>
      <c r="K23" s="50">
        <v>1.0</v>
      </c>
      <c r="L23" s="55">
        <v>2.0</v>
      </c>
      <c r="M23" s="55">
        <v>3.0</v>
      </c>
      <c r="N23" s="55">
        <v>4.0</v>
      </c>
      <c r="O23" s="56">
        <v>5.0</v>
      </c>
      <c r="P23" s="57">
        <f t="shared" si="2"/>
        <v>3</v>
      </c>
      <c r="Q23" s="26"/>
      <c r="R23" s="27"/>
    </row>
    <row r="24" ht="15.75" customHeight="1">
      <c r="B24" s="58">
        <v>21.0</v>
      </c>
      <c r="C24" s="59"/>
      <c r="D24" s="60">
        <v>0.0</v>
      </c>
      <c r="E24" s="61">
        <v>0.0</v>
      </c>
      <c r="F24" s="61">
        <v>0.0</v>
      </c>
      <c r="G24" s="61">
        <v>1.0</v>
      </c>
      <c r="H24" s="62">
        <v>0.0</v>
      </c>
      <c r="I24" s="43" t="str">
        <f t="shared" si="1"/>
        <v/>
      </c>
      <c r="J24" s="44"/>
      <c r="K24" s="58">
        <v>1.0</v>
      </c>
      <c r="L24" s="63">
        <v>2.0</v>
      </c>
      <c r="M24" s="63">
        <v>3.0</v>
      </c>
      <c r="N24" s="63">
        <v>4.0</v>
      </c>
      <c r="O24" s="64">
        <v>5.0</v>
      </c>
      <c r="P24" s="65">
        <f t="shared" si="2"/>
        <v>4</v>
      </c>
      <c r="Q24" s="66"/>
      <c r="R24" s="37"/>
    </row>
    <row r="25" ht="15.75" customHeight="1">
      <c r="B25" s="67">
        <v>22.0</v>
      </c>
      <c r="C25" s="68"/>
      <c r="D25" s="69">
        <v>0.0</v>
      </c>
      <c r="E25" s="70">
        <v>0.0</v>
      </c>
      <c r="F25" s="70">
        <v>0.0</v>
      </c>
      <c r="G25" s="70">
        <v>1.0</v>
      </c>
      <c r="H25" s="71">
        <v>0.0</v>
      </c>
      <c r="I25" s="72" t="str">
        <f t="shared" si="1"/>
        <v/>
      </c>
      <c r="J25" s="73"/>
      <c r="K25" s="67">
        <v>1.0</v>
      </c>
      <c r="L25" s="74">
        <v>2.0</v>
      </c>
      <c r="M25" s="74">
        <v>3.0</v>
      </c>
      <c r="N25" s="74">
        <v>4.0</v>
      </c>
      <c r="O25" s="75">
        <v>5.0</v>
      </c>
      <c r="P25" s="76">
        <f t="shared" si="2"/>
        <v>4</v>
      </c>
      <c r="Q25" s="77">
        <f>SUM(P25:P36)</f>
        <v>51</v>
      </c>
      <c r="R25" s="78" t="str">
        <f>IF(Q25&lt;21,"MUY BAJO",IF(AND(Q25&gt;=21,Q25&lt;=34),"BAJO",IF(AND(Q25&gt;=35,Q25&lt;=41),"PROMEDIO BAJO",IF(AND(Q25&gt;=42,Q25&lt;=46),"PROMEDIO",IF(AND(Q25&gt;=47,Q25&lt;=50),"PROMEDIO ALTO",IF(AND(Q25&gt;=51,Q25&lt;=54),"ALTO","MUY ALTO"))))))</f>
        <v>ALTO</v>
      </c>
    </row>
    <row r="26" ht="15.75" customHeight="1">
      <c r="B26" s="79">
        <v>23.0</v>
      </c>
      <c r="C26" s="80"/>
      <c r="D26" s="81">
        <v>1.0</v>
      </c>
      <c r="E26" s="82">
        <v>0.0</v>
      </c>
      <c r="F26" s="82">
        <v>0.0</v>
      </c>
      <c r="G26" s="82">
        <v>0.0</v>
      </c>
      <c r="H26" s="83">
        <v>0.0</v>
      </c>
      <c r="I26" s="72" t="str">
        <f t="shared" si="1"/>
        <v/>
      </c>
      <c r="J26" s="84"/>
      <c r="K26" s="79">
        <v>5.0</v>
      </c>
      <c r="L26" s="85">
        <v>4.0</v>
      </c>
      <c r="M26" s="85">
        <v>3.0</v>
      </c>
      <c r="N26" s="85">
        <v>2.0</v>
      </c>
      <c r="O26" s="86">
        <v>1.0</v>
      </c>
      <c r="P26" s="87">
        <f t="shared" si="2"/>
        <v>5</v>
      </c>
      <c r="Q26" s="26"/>
      <c r="R26" s="27"/>
    </row>
    <row r="27" ht="15.75" customHeight="1">
      <c r="B27" s="79">
        <v>24.0</v>
      </c>
      <c r="C27" s="80"/>
      <c r="D27" s="81">
        <v>0.0</v>
      </c>
      <c r="E27" s="82">
        <v>0.0</v>
      </c>
      <c r="F27" s="82">
        <v>0.0</v>
      </c>
      <c r="G27" s="82">
        <v>1.0</v>
      </c>
      <c r="H27" s="83">
        <v>0.0</v>
      </c>
      <c r="I27" s="72" t="str">
        <f t="shared" si="1"/>
        <v/>
      </c>
      <c r="J27" s="84"/>
      <c r="K27" s="79">
        <v>1.0</v>
      </c>
      <c r="L27" s="85">
        <v>2.0</v>
      </c>
      <c r="M27" s="85">
        <v>3.0</v>
      </c>
      <c r="N27" s="85">
        <v>4.0</v>
      </c>
      <c r="O27" s="86">
        <v>5.0</v>
      </c>
      <c r="P27" s="87">
        <f t="shared" si="2"/>
        <v>4</v>
      </c>
      <c r="Q27" s="26"/>
      <c r="R27" s="27"/>
    </row>
    <row r="28" ht="15.75" customHeight="1">
      <c r="B28" s="79">
        <v>25.0</v>
      </c>
      <c r="C28" s="80"/>
      <c r="D28" s="81">
        <v>0.0</v>
      </c>
      <c r="E28" s="82">
        <v>0.0</v>
      </c>
      <c r="F28" s="82">
        <v>0.0</v>
      </c>
      <c r="G28" s="82">
        <v>1.0</v>
      </c>
      <c r="H28" s="83">
        <v>0.0</v>
      </c>
      <c r="I28" s="72" t="str">
        <f t="shared" si="1"/>
        <v/>
      </c>
      <c r="J28" s="84"/>
      <c r="K28" s="79">
        <v>1.0</v>
      </c>
      <c r="L28" s="85">
        <v>2.0</v>
      </c>
      <c r="M28" s="85">
        <v>3.0</v>
      </c>
      <c r="N28" s="85">
        <v>4.0</v>
      </c>
      <c r="O28" s="86">
        <v>5.0</v>
      </c>
      <c r="P28" s="87">
        <f t="shared" si="2"/>
        <v>4</v>
      </c>
      <c r="Q28" s="26"/>
      <c r="R28" s="27"/>
    </row>
    <row r="29" ht="15.75" customHeight="1">
      <c r="B29" s="79">
        <v>26.0</v>
      </c>
      <c r="C29" s="80"/>
      <c r="D29" s="81">
        <v>0.0</v>
      </c>
      <c r="E29" s="82">
        <v>0.0</v>
      </c>
      <c r="F29" s="82">
        <v>0.0</v>
      </c>
      <c r="G29" s="82">
        <v>0.0</v>
      </c>
      <c r="H29" s="83">
        <v>1.0</v>
      </c>
      <c r="I29" s="72" t="str">
        <f t="shared" si="1"/>
        <v/>
      </c>
      <c r="J29" s="84"/>
      <c r="K29" s="79">
        <v>5.0</v>
      </c>
      <c r="L29" s="85">
        <v>4.0</v>
      </c>
      <c r="M29" s="85">
        <v>3.0</v>
      </c>
      <c r="N29" s="85">
        <v>2.0</v>
      </c>
      <c r="O29" s="86">
        <v>1.0</v>
      </c>
      <c r="P29" s="87">
        <f t="shared" si="2"/>
        <v>1</v>
      </c>
      <c r="Q29" s="26"/>
      <c r="R29" s="27"/>
    </row>
    <row r="30" ht="15.75" customHeight="1">
      <c r="B30" s="79">
        <v>27.0</v>
      </c>
      <c r="C30" s="80"/>
      <c r="D30" s="81">
        <v>0.0</v>
      </c>
      <c r="E30" s="82">
        <v>0.0</v>
      </c>
      <c r="F30" s="82">
        <v>0.0</v>
      </c>
      <c r="G30" s="82">
        <v>0.0</v>
      </c>
      <c r="H30" s="83">
        <v>1.0</v>
      </c>
      <c r="I30" s="72" t="str">
        <f t="shared" si="1"/>
        <v/>
      </c>
      <c r="J30" s="84"/>
      <c r="K30" s="79">
        <v>1.0</v>
      </c>
      <c r="L30" s="85">
        <v>2.0</v>
      </c>
      <c r="M30" s="85">
        <v>3.0</v>
      </c>
      <c r="N30" s="85">
        <v>4.0</v>
      </c>
      <c r="O30" s="86">
        <v>5.0</v>
      </c>
      <c r="P30" s="87">
        <f t="shared" si="2"/>
        <v>5</v>
      </c>
      <c r="Q30" s="26"/>
      <c r="R30" s="27"/>
    </row>
    <row r="31" ht="15.75" customHeight="1">
      <c r="B31" s="79">
        <v>28.0</v>
      </c>
      <c r="C31" s="80"/>
      <c r="D31" s="81">
        <v>0.0</v>
      </c>
      <c r="E31" s="82">
        <v>0.0</v>
      </c>
      <c r="F31" s="82">
        <v>0.0</v>
      </c>
      <c r="G31" s="82">
        <v>0.0</v>
      </c>
      <c r="H31" s="83">
        <v>1.0</v>
      </c>
      <c r="I31" s="72" t="str">
        <f t="shared" si="1"/>
        <v/>
      </c>
      <c r="J31" s="84"/>
      <c r="K31" s="79">
        <v>1.0</v>
      </c>
      <c r="L31" s="85">
        <v>2.0</v>
      </c>
      <c r="M31" s="85">
        <v>3.0</v>
      </c>
      <c r="N31" s="85">
        <v>4.0</v>
      </c>
      <c r="O31" s="86">
        <v>5.0</v>
      </c>
      <c r="P31" s="87">
        <f t="shared" si="2"/>
        <v>5</v>
      </c>
      <c r="Q31" s="26"/>
      <c r="R31" s="27"/>
    </row>
    <row r="32" ht="15.75" customHeight="1">
      <c r="B32" s="79">
        <v>29.0</v>
      </c>
      <c r="C32" s="80"/>
      <c r="D32" s="81">
        <v>0.0</v>
      </c>
      <c r="E32" s="82">
        <v>1.0</v>
      </c>
      <c r="F32" s="82">
        <v>0.0</v>
      </c>
      <c r="G32" s="82">
        <v>0.0</v>
      </c>
      <c r="H32" s="83">
        <v>0.0</v>
      </c>
      <c r="I32" s="72" t="str">
        <f t="shared" si="1"/>
        <v/>
      </c>
      <c r="J32" s="84"/>
      <c r="K32" s="79">
        <v>5.0</v>
      </c>
      <c r="L32" s="85">
        <v>4.0</v>
      </c>
      <c r="M32" s="85">
        <v>3.0</v>
      </c>
      <c r="N32" s="85">
        <v>2.0</v>
      </c>
      <c r="O32" s="86">
        <v>1.0</v>
      </c>
      <c r="P32" s="87">
        <f t="shared" si="2"/>
        <v>4</v>
      </c>
      <c r="Q32" s="26"/>
      <c r="R32" s="27"/>
    </row>
    <row r="33" ht="15.75" customHeight="1">
      <c r="B33" s="79">
        <v>30.0</v>
      </c>
      <c r="C33" s="80"/>
      <c r="D33" s="81">
        <v>0.0</v>
      </c>
      <c r="E33" s="82">
        <v>0.0</v>
      </c>
      <c r="F33" s="82">
        <v>0.0</v>
      </c>
      <c r="G33" s="82">
        <v>0.0</v>
      </c>
      <c r="H33" s="83">
        <v>1.0</v>
      </c>
      <c r="I33" s="72" t="str">
        <f t="shared" si="1"/>
        <v/>
      </c>
      <c r="J33" s="84"/>
      <c r="K33" s="79">
        <v>1.0</v>
      </c>
      <c r="L33" s="85">
        <v>2.0</v>
      </c>
      <c r="M33" s="85">
        <v>3.0</v>
      </c>
      <c r="N33" s="85">
        <v>4.0</v>
      </c>
      <c r="O33" s="86">
        <v>5.0</v>
      </c>
      <c r="P33" s="87">
        <f t="shared" si="2"/>
        <v>5</v>
      </c>
      <c r="Q33" s="26"/>
      <c r="R33" s="27"/>
    </row>
    <row r="34" ht="15.75" customHeight="1">
      <c r="B34" s="79">
        <v>31.0</v>
      </c>
      <c r="C34" s="80"/>
      <c r="D34" s="81">
        <v>0.0</v>
      </c>
      <c r="E34" s="82">
        <v>0.0</v>
      </c>
      <c r="F34" s="82">
        <v>0.0</v>
      </c>
      <c r="G34" s="82">
        <v>1.0</v>
      </c>
      <c r="H34" s="83">
        <v>0.0</v>
      </c>
      <c r="I34" s="72" t="str">
        <f t="shared" si="1"/>
        <v/>
      </c>
      <c r="J34" s="84"/>
      <c r="K34" s="79">
        <v>1.0</v>
      </c>
      <c r="L34" s="85">
        <v>2.0</v>
      </c>
      <c r="M34" s="85">
        <v>3.0</v>
      </c>
      <c r="N34" s="85">
        <v>4.0</v>
      </c>
      <c r="O34" s="86">
        <v>5.0</v>
      </c>
      <c r="P34" s="87">
        <f t="shared" si="2"/>
        <v>4</v>
      </c>
      <c r="Q34" s="26"/>
      <c r="R34" s="27"/>
    </row>
    <row r="35" ht="15.75" customHeight="1">
      <c r="B35" s="79">
        <v>32.0</v>
      </c>
      <c r="C35" s="80"/>
      <c r="D35" s="81">
        <v>0.0</v>
      </c>
      <c r="E35" s="82">
        <v>0.0</v>
      </c>
      <c r="F35" s="82">
        <v>0.0</v>
      </c>
      <c r="G35" s="82">
        <v>0.0</v>
      </c>
      <c r="H35" s="83">
        <v>1.0</v>
      </c>
      <c r="I35" s="72" t="str">
        <f t="shared" si="1"/>
        <v/>
      </c>
      <c r="J35" s="84"/>
      <c r="K35" s="79">
        <v>1.0</v>
      </c>
      <c r="L35" s="85">
        <v>2.0</v>
      </c>
      <c r="M35" s="85">
        <v>3.0</v>
      </c>
      <c r="N35" s="85">
        <v>4.0</v>
      </c>
      <c r="O35" s="86">
        <v>5.0</v>
      </c>
      <c r="P35" s="87">
        <f t="shared" si="2"/>
        <v>5</v>
      </c>
      <c r="Q35" s="26"/>
      <c r="R35" s="27"/>
    </row>
    <row r="36" ht="15.75" customHeight="1">
      <c r="B36" s="88">
        <v>33.0</v>
      </c>
      <c r="C36" s="89"/>
      <c r="D36" s="90">
        <v>1.0</v>
      </c>
      <c r="E36" s="91">
        <v>0.0</v>
      </c>
      <c r="F36" s="91">
        <v>0.0</v>
      </c>
      <c r="G36" s="91">
        <v>0.0</v>
      </c>
      <c r="H36" s="92">
        <v>0.0</v>
      </c>
      <c r="I36" s="72" t="str">
        <f t="shared" si="1"/>
        <v/>
      </c>
      <c r="J36" s="93"/>
      <c r="K36" s="88">
        <v>5.0</v>
      </c>
      <c r="L36" s="94">
        <v>4.0</v>
      </c>
      <c r="M36" s="94">
        <v>3.0</v>
      </c>
      <c r="N36" s="94">
        <v>2.0</v>
      </c>
      <c r="O36" s="95">
        <v>1.0</v>
      </c>
      <c r="P36" s="96">
        <f t="shared" si="2"/>
        <v>5</v>
      </c>
      <c r="Q36" s="66"/>
      <c r="R36" s="37"/>
    </row>
    <row r="37" ht="15.75" customHeight="1">
      <c r="B37" s="97">
        <v>34.0</v>
      </c>
      <c r="C37" s="98"/>
      <c r="D37" s="99">
        <v>0.0</v>
      </c>
      <c r="E37" s="100">
        <v>0.0</v>
      </c>
      <c r="F37" s="100">
        <v>0.0</v>
      </c>
      <c r="G37" s="100">
        <v>1.0</v>
      </c>
      <c r="H37" s="101">
        <v>0.0</v>
      </c>
      <c r="I37" s="102" t="str">
        <f t="shared" si="1"/>
        <v/>
      </c>
      <c r="J37" s="103"/>
      <c r="K37" s="97">
        <v>1.0</v>
      </c>
      <c r="L37" s="104">
        <v>2.0</v>
      </c>
      <c r="M37" s="104">
        <v>3.0</v>
      </c>
      <c r="N37" s="104">
        <v>4.0</v>
      </c>
      <c r="O37" s="105">
        <v>5.0</v>
      </c>
      <c r="P37" s="106">
        <f t="shared" si="2"/>
        <v>4</v>
      </c>
      <c r="Q37" s="107">
        <f>SUM(P37:P45)</f>
        <v>32</v>
      </c>
      <c r="R37" s="108" t="str">
        <f>IF(Q37&lt;16,"MUY BAJO",IF(AND(Q37&gt;=16,Q37&lt;=24),"BAJO",IF(AND(Q37&gt;=25,Q37&lt;=29),"PROMEDIO BAJO",IF(AND(Q37&gt;=30,Q37&lt;=33),"PROMEDIO",IF(AND(Q37&gt;=34,Q37&lt;=36),"PROMEDIO ALTO",IF(AND(Q37&gt;=37,Q37&lt;=40),"ALTO","MUY ALTO"))))))</f>
        <v>PROMEDIO</v>
      </c>
    </row>
    <row r="38" ht="15.75" customHeight="1">
      <c r="B38" s="109">
        <v>35.0</v>
      </c>
      <c r="C38" s="110"/>
      <c r="D38" s="111">
        <v>1.0</v>
      </c>
      <c r="E38" s="112">
        <v>0.0</v>
      </c>
      <c r="F38" s="112">
        <v>0.0</v>
      </c>
      <c r="G38" s="112">
        <v>0.0</v>
      </c>
      <c r="H38" s="113">
        <v>0.0</v>
      </c>
      <c r="I38" s="102" t="str">
        <f t="shared" si="1"/>
        <v/>
      </c>
      <c r="J38" s="103"/>
      <c r="K38" s="109">
        <v>5.0</v>
      </c>
      <c r="L38" s="114">
        <v>4.0</v>
      </c>
      <c r="M38" s="114">
        <v>3.0</v>
      </c>
      <c r="N38" s="114">
        <v>2.0</v>
      </c>
      <c r="O38" s="115">
        <v>1.0</v>
      </c>
      <c r="P38" s="116">
        <f t="shared" si="2"/>
        <v>5</v>
      </c>
      <c r="Q38" s="26"/>
      <c r="R38" s="27"/>
    </row>
    <row r="39" ht="15.75" customHeight="1">
      <c r="B39" s="109">
        <v>36.0</v>
      </c>
      <c r="C39" s="110"/>
      <c r="D39" s="111">
        <v>0.0</v>
      </c>
      <c r="E39" s="112">
        <v>0.0</v>
      </c>
      <c r="F39" s="112">
        <v>0.0</v>
      </c>
      <c r="G39" s="112">
        <v>1.0</v>
      </c>
      <c r="H39" s="113">
        <v>0.0</v>
      </c>
      <c r="I39" s="102" t="str">
        <f t="shared" si="1"/>
        <v/>
      </c>
      <c r="J39" s="103"/>
      <c r="K39" s="109">
        <v>1.0</v>
      </c>
      <c r="L39" s="114">
        <v>2.0</v>
      </c>
      <c r="M39" s="114">
        <v>3.0</v>
      </c>
      <c r="N39" s="114">
        <v>4.0</v>
      </c>
      <c r="O39" s="115">
        <v>5.0</v>
      </c>
      <c r="P39" s="116">
        <f t="shared" si="2"/>
        <v>4</v>
      </c>
      <c r="Q39" s="26"/>
      <c r="R39" s="27"/>
    </row>
    <row r="40" ht="15.75" customHeight="1">
      <c r="B40" s="109">
        <v>37.0</v>
      </c>
      <c r="C40" s="110"/>
      <c r="D40" s="111">
        <v>1.0</v>
      </c>
      <c r="E40" s="112">
        <v>0.0</v>
      </c>
      <c r="F40" s="112">
        <v>0.0</v>
      </c>
      <c r="G40" s="112">
        <v>0.0</v>
      </c>
      <c r="H40" s="113">
        <v>0.0</v>
      </c>
      <c r="I40" s="102" t="str">
        <f t="shared" si="1"/>
        <v/>
      </c>
      <c r="J40" s="103"/>
      <c r="K40" s="109">
        <v>5.0</v>
      </c>
      <c r="L40" s="114">
        <v>4.0</v>
      </c>
      <c r="M40" s="114">
        <v>3.0</v>
      </c>
      <c r="N40" s="114">
        <v>2.0</v>
      </c>
      <c r="O40" s="115">
        <v>1.0</v>
      </c>
      <c r="P40" s="116">
        <f t="shared" si="2"/>
        <v>5</v>
      </c>
      <c r="Q40" s="26"/>
      <c r="R40" s="27"/>
    </row>
    <row r="41" ht="15.75" customHeight="1">
      <c r="B41" s="109">
        <v>38.0</v>
      </c>
      <c r="C41" s="110"/>
      <c r="D41" s="111">
        <v>0.0</v>
      </c>
      <c r="E41" s="112">
        <v>1.0</v>
      </c>
      <c r="F41" s="112">
        <v>0.0</v>
      </c>
      <c r="G41" s="112">
        <v>0.0</v>
      </c>
      <c r="H41" s="113">
        <v>0.0</v>
      </c>
      <c r="I41" s="102" t="str">
        <f t="shared" si="1"/>
        <v/>
      </c>
      <c r="J41" s="103"/>
      <c r="K41" s="109">
        <v>1.0</v>
      </c>
      <c r="L41" s="114">
        <v>2.0</v>
      </c>
      <c r="M41" s="114">
        <v>3.0</v>
      </c>
      <c r="N41" s="114">
        <v>4.0</v>
      </c>
      <c r="O41" s="115">
        <v>5.0</v>
      </c>
      <c r="P41" s="116">
        <f t="shared" si="2"/>
        <v>2</v>
      </c>
      <c r="Q41" s="26"/>
      <c r="R41" s="27"/>
    </row>
    <row r="42" ht="15.75" customHeight="1">
      <c r="B42" s="109">
        <v>39.0</v>
      </c>
      <c r="C42" s="110"/>
      <c r="D42" s="111">
        <v>0.0</v>
      </c>
      <c r="E42" s="112">
        <v>0.0</v>
      </c>
      <c r="F42" s="112">
        <v>1.0</v>
      </c>
      <c r="G42" s="112">
        <v>0.0</v>
      </c>
      <c r="H42" s="113">
        <v>0.0</v>
      </c>
      <c r="I42" s="102" t="str">
        <f t="shared" si="1"/>
        <v/>
      </c>
      <c r="J42" s="103"/>
      <c r="K42" s="109">
        <v>1.0</v>
      </c>
      <c r="L42" s="114">
        <v>2.0</v>
      </c>
      <c r="M42" s="114">
        <v>3.0</v>
      </c>
      <c r="N42" s="114">
        <v>4.0</v>
      </c>
      <c r="O42" s="115">
        <v>5.0</v>
      </c>
      <c r="P42" s="116">
        <f t="shared" si="2"/>
        <v>3</v>
      </c>
      <c r="Q42" s="26"/>
      <c r="R42" s="27"/>
    </row>
    <row r="43" ht="15.75" customHeight="1">
      <c r="B43" s="109">
        <v>40.0</v>
      </c>
      <c r="C43" s="110"/>
      <c r="D43" s="111">
        <v>0.0</v>
      </c>
      <c r="E43" s="112">
        <v>1.0</v>
      </c>
      <c r="F43" s="112">
        <v>0.0</v>
      </c>
      <c r="G43" s="112">
        <v>0.0</v>
      </c>
      <c r="H43" s="113">
        <v>0.0</v>
      </c>
      <c r="I43" s="102" t="str">
        <f t="shared" si="1"/>
        <v/>
      </c>
      <c r="J43" s="103"/>
      <c r="K43" s="109">
        <v>5.0</v>
      </c>
      <c r="L43" s="114">
        <v>4.0</v>
      </c>
      <c r="M43" s="114">
        <v>3.0</v>
      </c>
      <c r="N43" s="114">
        <v>2.0</v>
      </c>
      <c r="O43" s="115">
        <v>1.0</v>
      </c>
      <c r="P43" s="116">
        <f t="shared" si="2"/>
        <v>4</v>
      </c>
      <c r="Q43" s="26"/>
      <c r="R43" s="27"/>
    </row>
    <row r="44" ht="15.75" customHeight="1">
      <c r="B44" s="109">
        <v>41.0</v>
      </c>
      <c r="C44" s="110"/>
      <c r="D44" s="111">
        <v>0.0</v>
      </c>
      <c r="E44" s="112">
        <v>1.0</v>
      </c>
      <c r="F44" s="112">
        <v>0.0</v>
      </c>
      <c r="G44" s="112">
        <v>0.0</v>
      </c>
      <c r="H44" s="113">
        <v>0.0</v>
      </c>
      <c r="I44" s="102" t="str">
        <f t="shared" si="1"/>
        <v/>
      </c>
      <c r="J44" s="103"/>
      <c r="K44" s="109">
        <v>1.0</v>
      </c>
      <c r="L44" s="114">
        <v>2.0</v>
      </c>
      <c r="M44" s="114">
        <v>3.0</v>
      </c>
      <c r="N44" s="114">
        <v>4.0</v>
      </c>
      <c r="O44" s="115">
        <v>5.0</v>
      </c>
      <c r="P44" s="116">
        <f t="shared" si="2"/>
        <v>2</v>
      </c>
      <c r="Q44" s="26"/>
      <c r="R44" s="27"/>
    </row>
    <row r="45" ht="15.75" customHeight="1">
      <c r="B45" s="117">
        <v>42.0</v>
      </c>
      <c r="C45" s="118"/>
      <c r="D45" s="119">
        <v>0.0</v>
      </c>
      <c r="E45" s="120">
        <v>0.0</v>
      </c>
      <c r="F45" s="120">
        <v>1.0</v>
      </c>
      <c r="G45" s="120">
        <v>0.0</v>
      </c>
      <c r="H45" s="121">
        <v>0.0</v>
      </c>
      <c r="I45" s="102" t="str">
        <f t="shared" si="1"/>
        <v/>
      </c>
      <c r="J45" s="122"/>
      <c r="K45" s="117">
        <v>1.0</v>
      </c>
      <c r="L45" s="123">
        <v>2.0</v>
      </c>
      <c r="M45" s="123">
        <v>3.0</v>
      </c>
      <c r="N45" s="123">
        <v>4.0</v>
      </c>
      <c r="O45" s="124">
        <v>5.0</v>
      </c>
      <c r="P45" s="125">
        <f t="shared" si="2"/>
        <v>3</v>
      </c>
      <c r="Q45" s="66"/>
      <c r="R45" s="37"/>
    </row>
    <row r="46" ht="15.75" customHeight="1">
      <c r="P46" s="23" t="s">
        <v>6</v>
      </c>
      <c r="Q46" s="23">
        <f>SUM(Q4:Q45)</f>
        <v>156</v>
      </c>
      <c r="R46" s="23" t="str">
        <f>IF(Q46&lt;88,"MUY BAJO",IF(AND(Q46&gt;=88,Q46&lt;=126),"BAJO",IF(AND(Q46&gt;=127,Q46&lt;=141),"PROMEDIO BAJO",IF(AND(Q46&gt;=142,Q46&lt;=151),"PROMEDIO",IF(AND(Q46&gt;=152,Q46&lt;=161),"PROMEDIO ALTO",IF(AND(Q46&gt;=162,Q46&lt;=173),"ALTO","MUY ALTO"))))))</f>
        <v>PROMEDIO ALTO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Q4:Q15"/>
    <mergeCell ref="R4:R15"/>
    <mergeCell ref="Q16:Q24"/>
    <mergeCell ref="R16:R24"/>
    <mergeCell ref="Q25:Q36"/>
    <mergeCell ref="R25:R36"/>
    <mergeCell ref="Q37:Q45"/>
    <mergeCell ref="R37:R45"/>
  </mergeCells>
  <conditionalFormatting sqref="D4:H45">
    <cfRule type="cellIs" dxfId="0" priority="1" operator="equal">
      <formula>1</formula>
    </cfRule>
  </conditionalFormatting>
  <conditionalFormatting sqref="D4:H45">
    <cfRule type="cellIs" dxfId="0" priority="2" operator="equal">
      <formula>"X"</formula>
    </cfRule>
  </conditionalFormatting>
  <conditionalFormatting sqref="D4:H45">
    <cfRule type="cellIs" dxfId="0" priority="3" operator="equal">
      <formula>1</formula>
    </cfRule>
  </conditionalFormatting>
  <conditionalFormatting sqref="D4:H45">
    <cfRule type="cellIs" dxfId="0" priority="4" operator="equal">
      <formula>"X"</formula>
    </cfRule>
  </conditionalFormatting>
  <dataValidations>
    <dataValidation type="list" allowBlank="1" showErrorMessage="1" sqref="D4:H45">
      <formula1>$J$3:$J$4</formula1>
    </dataValidation>
  </dataValidations>
  <printOptions/>
  <pageMargins bottom="0.75" footer="0.0" header="0.0" left="0.7" right="0.7" top="0.75"/>
  <pageSetup scale="6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4.13"/>
    <col customWidth="1" min="3" max="3" width="23.75"/>
    <col customWidth="1" min="4" max="8" width="6.0"/>
    <col customWidth="1" min="9" max="9" width="8.25"/>
    <col customWidth="1" hidden="1" min="10" max="10" width="10.0"/>
    <col customWidth="1" min="11" max="15" width="2.5"/>
    <col customWidth="1" min="16" max="16" width="10.0"/>
    <col customWidth="1" min="17" max="18" width="9.25"/>
    <col customWidth="1" min="19" max="26" width="9.38"/>
  </cols>
  <sheetData>
    <row r="3">
      <c r="C3" s="1" t="s">
        <v>7</v>
      </c>
      <c r="D3" s="2" t="s">
        <v>1</v>
      </c>
      <c r="E3" s="3" t="s">
        <v>2</v>
      </c>
      <c r="F3" s="3" t="s">
        <v>3</v>
      </c>
      <c r="G3" s="3" t="s">
        <v>4</v>
      </c>
      <c r="H3" s="4" t="s">
        <v>5</v>
      </c>
      <c r="J3" s="5">
        <v>1.0</v>
      </c>
    </row>
    <row r="4" ht="15.0" customHeight="1">
      <c r="B4" s="24">
        <v>1.0</v>
      </c>
      <c r="C4" s="24"/>
      <c r="D4" s="8">
        <v>0.0</v>
      </c>
      <c r="E4" s="9">
        <v>0.0</v>
      </c>
      <c r="F4" s="9">
        <v>1.0</v>
      </c>
      <c r="G4" s="9">
        <v>0.0</v>
      </c>
      <c r="H4" s="10">
        <v>0.0</v>
      </c>
      <c r="I4" s="24" t="str">
        <f t="shared" ref="I4:I45" si="1">IF(SUM(D4:H4)&gt;1,"Verifique","")</f>
        <v/>
      </c>
      <c r="J4" s="24">
        <v>0.0</v>
      </c>
      <c r="K4" s="24">
        <v>1.0</v>
      </c>
      <c r="L4" s="24">
        <v>2.0</v>
      </c>
      <c r="M4" s="24">
        <v>3.0</v>
      </c>
      <c r="N4" s="24">
        <v>4.0</v>
      </c>
      <c r="O4" s="24">
        <v>5.0</v>
      </c>
      <c r="P4" s="24">
        <f t="shared" ref="P4:P45" si="2">D4*K4+E4*L4+F4*M4+G4*N4+H4*O4</f>
        <v>3</v>
      </c>
      <c r="Q4" s="126">
        <f>SUM(P4:P14)</f>
        <v>44</v>
      </c>
      <c r="R4" s="126" t="str">
        <f>IF(Q4&lt;=21,"MUY BAJO",IF(AND(Q4&gt;=22,Q4&lt;=26),"BAJO",IF(AND(Q4&gt;=27,Q4&lt;=32),"PROMEDIO",IF(AND(Q4&gt;=33,Q4&lt;=39),"ALTO","MUY ALTO"))))</f>
        <v>MUY ALTO</v>
      </c>
    </row>
    <row r="5">
      <c r="B5" s="24">
        <v>2.0</v>
      </c>
      <c r="C5" s="24"/>
      <c r="D5" s="20">
        <v>0.0</v>
      </c>
      <c r="E5" s="21">
        <v>1.0</v>
      </c>
      <c r="F5" s="21">
        <v>0.0</v>
      </c>
      <c r="G5" s="21">
        <v>0.0</v>
      </c>
      <c r="H5" s="22">
        <v>0.0</v>
      </c>
      <c r="I5" s="24" t="str">
        <f t="shared" si="1"/>
        <v/>
      </c>
      <c r="J5" s="24"/>
      <c r="K5" s="24">
        <v>1.0</v>
      </c>
      <c r="L5" s="24">
        <v>2.0</v>
      </c>
      <c r="M5" s="24">
        <v>3.0</v>
      </c>
      <c r="N5" s="24">
        <v>4.0</v>
      </c>
      <c r="O5" s="24">
        <v>5.0</v>
      </c>
      <c r="P5" s="24">
        <f t="shared" si="2"/>
        <v>2</v>
      </c>
      <c r="Q5" s="27"/>
      <c r="R5" s="27"/>
    </row>
    <row r="6">
      <c r="B6" s="24">
        <v>3.0</v>
      </c>
      <c r="C6" s="24"/>
      <c r="D6" s="20">
        <v>0.0</v>
      </c>
      <c r="E6" s="21">
        <v>0.0</v>
      </c>
      <c r="F6" s="21">
        <v>0.0</v>
      </c>
      <c r="G6" s="21">
        <v>0.0</v>
      </c>
      <c r="H6" s="22">
        <v>1.0</v>
      </c>
      <c r="I6" s="24" t="str">
        <f t="shared" si="1"/>
        <v/>
      </c>
      <c r="J6" s="24"/>
      <c r="K6" s="24">
        <v>1.0</v>
      </c>
      <c r="L6" s="24">
        <v>2.0</v>
      </c>
      <c r="M6" s="24">
        <v>3.0</v>
      </c>
      <c r="N6" s="24">
        <v>4.0</v>
      </c>
      <c r="O6" s="24">
        <v>5.0</v>
      </c>
      <c r="P6" s="24">
        <f t="shared" si="2"/>
        <v>5</v>
      </c>
      <c r="Q6" s="27"/>
      <c r="R6" s="27"/>
    </row>
    <row r="7">
      <c r="B7" s="24">
        <v>4.0</v>
      </c>
      <c r="C7" s="24"/>
      <c r="D7" s="20">
        <v>0.0</v>
      </c>
      <c r="E7" s="21">
        <v>0.0</v>
      </c>
      <c r="F7" s="21">
        <v>0.0</v>
      </c>
      <c r="G7" s="21">
        <v>0.0</v>
      </c>
      <c r="H7" s="22">
        <v>1.0</v>
      </c>
      <c r="I7" s="24" t="str">
        <f t="shared" si="1"/>
        <v/>
      </c>
      <c r="J7" s="24">
        <f>SUM(Q4:Q45)</f>
        <v>141</v>
      </c>
      <c r="K7" s="24">
        <v>1.0</v>
      </c>
      <c r="L7" s="24">
        <v>2.0</v>
      </c>
      <c r="M7" s="24">
        <v>3.0</v>
      </c>
      <c r="N7" s="24">
        <v>4.0</v>
      </c>
      <c r="O7" s="24">
        <v>5.0</v>
      </c>
      <c r="P7" s="24">
        <f t="shared" si="2"/>
        <v>5</v>
      </c>
      <c r="Q7" s="27"/>
      <c r="R7" s="27"/>
    </row>
    <row r="8">
      <c r="B8" s="24">
        <v>5.0</v>
      </c>
      <c r="C8" s="24"/>
      <c r="D8" s="20">
        <v>0.0</v>
      </c>
      <c r="E8" s="21">
        <v>0.0</v>
      </c>
      <c r="F8" s="21">
        <v>0.0</v>
      </c>
      <c r="G8" s="21">
        <v>0.0</v>
      </c>
      <c r="H8" s="22">
        <v>1.0</v>
      </c>
      <c r="I8" s="24" t="str">
        <f t="shared" si="1"/>
        <v/>
      </c>
      <c r="J8" s="24"/>
      <c r="K8" s="24">
        <v>1.0</v>
      </c>
      <c r="L8" s="24">
        <v>2.0</v>
      </c>
      <c r="M8" s="24">
        <v>3.0</v>
      </c>
      <c r="N8" s="24">
        <v>4.0</v>
      </c>
      <c r="O8" s="24">
        <v>5.0</v>
      </c>
      <c r="P8" s="24">
        <f t="shared" si="2"/>
        <v>5</v>
      </c>
      <c r="Q8" s="27"/>
      <c r="R8" s="27"/>
    </row>
    <row r="9">
      <c r="B9" s="24">
        <v>6.0</v>
      </c>
      <c r="C9" s="24"/>
      <c r="D9" s="20">
        <v>0.0</v>
      </c>
      <c r="E9" s="21">
        <v>0.0</v>
      </c>
      <c r="F9" s="21">
        <v>0.0</v>
      </c>
      <c r="G9" s="21">
        <v>1.0</v>
      </c>
      <c r="H9" s="22">
        <v>0.0</v>
      </c>
      <c r="I9" s="24" t="str">
        <f t="shared" si="1"/>
        <v/>
      </c>
      <c r="J9" s="24"/>
      <c r="K9" s="24">
        <v>1.0</v>
      </c>
      <c r="L9" s="24">
        <v>2.0</v>
      </c>
      <c r="M9" s="24">
        <v>3.0</v>
      </c>
      <c r="N9" s="24">
        <v>4.0</v>
      </c>
      <c r="O9" s="24">
        <v>5.0</v>
      </c>
      <c r="P9" s="24">
        <f t="shared" si="2"/>
        <v>4</v>
      </c>
      <c r="Q9" s="27"/>
      <c r="R9" s="27"/>
    </row>
    <row r="10">
      <c r="B10" s="24">
        <v>7.0</v>
      </c>
      <c r="C10" s="24"/>
      <c r="D10" s="20">
        <v>0.0</v>
      </c>
      <c r="E10" s="21">
        <v>0.0</v>
      </c>
      <c r="F10" s="21">
        <v>1.0</v>
      </c>
      <c r="G10" s="21">
        <v>0.0</v>
      </c>
      <c r="H10" s="22">
        <v>0.0</v>
      </c>
      <c r="I10" s="24" t="str">
        <f t="shared" si="1"/>
        <v/>
      </c>
      <c r="J10" s="24"/>
      <c r="K10" s="24">
        <v>1.0</v>
      </c>
      <c r="L10" s="24">
        <v>2.0</v>
      </c>
      <c r="M10" s="24">
        <v>3.0</v>
      </c>
      <c r="N10" s="24">
        <v>4.0</v>
      </c>
      <c r="O10" s="24">
        <v>5.0</v>
      </c>
      <c r="P10" s="24">
        <f t="shared" si="2"/>
        <v>3</v>
      </c>
      <c r="Q10" s="27"/>
      <c r="R10" s="27"/>
    </row>
    <row r="11">
      <c r="B11" s="24">
        <v>8.0</v>
      </c>
      <c r="C11" s="24"/>
      <c r="D11" s="20">
        <v>0.0</v>
      </c>
      <c r="E11" s="21">
        <v>0.0</v>
      </c>
      <c r="F11" s="21">
        <v>0.0</v>
      </c>
      <c r="G11" s="21">
        <v>0.0</v>
      </c>
      <c r="H11" s="22">
        <v>1.0</v>
      </c>
      <c r="I11" s="24" t="str">
        <f t="shared" si="1"/>
        <v/>
      </c>
      <c r="J11" s="24"/>
      <c r="K11" s="24">
        <v>1.0</v>
      </c>
      <c r="L11" s="24">
        <v>2.0</v>
      </c>
      <c r="M11" s="24">
        <v>3.0</v>
      </c>
      <c r="N11" s="24">
        <v>4.0</v>
      </c>
      <c r="O11" s="24">
        <v>5.0</v>
      </c>
      <c r="P11" s="24">
        <f t="shared" si="2"/>
        <v>5</v>
      </c>
      <c r="Q11" s="27"/>
      <c r="R11" s="27"/>
    </row>
    <row r="12">
      <c r="B12" s="24">
        <v>9.0</v>
      </c>
      <c r="C12" s="24"/>
      <c r="D12" s="20">
        <v>1.0</v>
      </c>
      <c r="E12" s="21">
        <v>0.0</v>
      </c>
      <c r="F12" s="21">
        <v>0.0</v>
      </c>
      <c r="G12" s="21">
        <v>0.0</v>
      </c>
      <c r="H12" s="22">
        <v>0.0</v>
      </c>
      <c r="I12" s="24" t="str">
        <f t="shared" si="1"/>
        <v/>
      </c>
      <c r="J12" s="24"/>
      <c r="K12" s="24">
        <v>5.0</v>
      </c>
      <c r="L12" s="24">
        <v>4.0</v>
      </c>
      <c r="M12" s="24">
        <v>3.0</v>
      </c>
      <c r="N12" s="24">
        <v>2.0</v>
      </c>
      <c r="O12" s="24">
        <v>1.0</v>
      </c>
      <c r="P12" s="24">
        <f t="shared" si="2"/>
        <v>5</v>
      </c>
      <c r="Q12" s="27"/>
      <c r="R12" s="27"/>
    </row>
    <row r="13" ht="15.0" customHeight="1">
      <c r="B13" s="24">
        <v>10.0</v>
      </c>
      <c r="C13" s="24"/>
      <c r="D13" s="20">
        <v>0.0</v>
      </c>
      <c r="E13" s="21">
        <v>1.0</v>
      </c>
      <c r="F13" s="21">
        <v>0.0</v>
      </c>
      <c r="G13" s="21">
        <v>0.0</v>
      </c>
      <c r="H13" s="22">
        <v>0.0</v>
      </c>
      <c r="I13" s="24" t="str">
        <f t="shared" si="1"/>
        <v/>
      </c>
      <c r="J13" s="24"/>
      <c r="K13" s="24">
        <v>5.0</v>
      </c>
      <c r="L13" s="24">
        <v>4.0</v>
      </c>
      <c r="M13" s="24">
        <v>3.0</v>
      </c>
      <c r="N13" s="24">
        <v>2.0</v>
      </c>
      <c r="O13" s="24">
        <v>1.0</v>
      </c>
      <c r="P13" s="24">
        <f t="shared" si="2"/>
        <v>4</v>
      </c>
      <c r="Q13" s="27"/>
      <c r="R13" s="27"/>
    </row>
    <row r="14">
      <c r="B14" s="24">
        <v>11.0</v>
      </c>
      <c r="C14" s="24"/>
      <c r="D14" s="20">
        <v>0.0</v>
      </c>
      <c r="E14" s="21">
        <v>0.0</v>
      </c>
      <c r="F14" s="21">
        <v>1.0</v>
      </c>
      <c r="G14" s="21">
        <v>0.0</v>
      </c>
      <c r="H14" s="22">
        <v>0.0</v>
      </c>
      <c r="I14" s="24" t="str">
        <f t="shared" si="1"/>
        <v/>
      </c>
      <c r="J14" s="24"/>
      <c r="K14" s="24">
        <v>5.0</v>
      </c>
      <c r="L14" s="24">
        <v>4.0</v>
      </c>
      <c r="M14" s="24">
        <v>3.0</v>
      </c>
      <c r="N14" s="24">
        <v>2.0</v>
      </c>
      <c r="O14" s="24">
        <v>1.0</v>
      </c>
      <c r="P14" s="24">
        <f t="shared" si="2"/>
        <v>3</v>
      </c>
      <c r="Q14" s="37"/>
      <c r="R14" s="37"/>
    </row>
    <row r="15">
      <c r="B15" s="127">
        <v>12.0</v>
      </c>
      <c r="C15" s="127"/>
      <c r="D15" s="30">
        <v>0.0</v>
      </c>
      <c r="E15" s="31">
        <v>1.0</v>
      </c>
      <c r="F15" s="31">
        <v>0.0</v>
      </c>
      <c r="G15" s="31">
        <v>0.0</v>
      </c>
      <c r="H15" s="32">
        <v>0.0</v>
      </c>
      <c r="I15" s="127" t="str">
        <f t="shared" si="1"/>
        <v/>
      </c>
      <c r="J15" s="127"/>
      <c r="K15" s="127">
        <v>1.0</v>
      </c>
      <c r="L15" s="127">
        <v>2.0</v>
      </c>
      <c r="M15" s="127">
        <v>3.0</v>
      </c>
      <c r="N15" s="127">
        <v>4.0</v>
      </c>
      <c r="O15" s="127">
        <v>5.0</v>
      </c>
      <c r="P15" s="127">
        <f t="shared" si="2"/>
        <v>2</v>
      </c>
      <c r="Q15" s="128">
        <f>SUM(P15:P21)</f>
        <v>18</v>
      </c>
      <c r="R15" s="128" t="str">
        <f>IF(Q15&lt;=10,"MUY BAJO",IF(AND(Q15&gt;=11,Q15&lt;=14),"BAJO",IF(AND(Q15&gt;=15,Q15&lt;=21),"PROMEDIO",IF(AND(Q15&gt;=22,Q15&lt;=27),"ALTO","MUY ALTO"))))</f>
        <v>PROMEDIO</v>
      </c>
    </row>
    <row r="16">
      <c r="B16" s="127">
        <v>13.0</v>
      </c>
      <c r="C16" s="127"/>
      <c r="D16" s="40">
        <v>0.0</v>
      </c>
      <c r="E16" s="41">
        <v>1.0</v>
      </c>
      <c r="F16" s="41">
        <v>0.0</v>
      </c>
      <c r="G16" s="41">
        <v>0.0</v>
      </c>
      <c r="H16" s="42">
        <v>0.0</v>
      </c>
      <c r="I16" s="127" t="str">
        <f t="shared" si="1"/>
        <v/>
      </c>
      <c r="J16" s="127"/>
      <c r="K16" s="127">
        <v>1.0</v>
      </c>
      <c r="L16" s="127">
        <v>2.0</v>
      </c>
      <c r="M16" s="127">
        <v>3.0</v>
      </c>
      <c r="N16" s="127">
        <v>4.0</v>
      </c>
      <c r="O16" s="127">
        <v>5.0</v>
      </c>
      <c r="P16" s="127">
        <f t="shared" si="2"/>
        <v>2</v>
      </c>
      <c r="Q16" s="27"/>
      <c r="R16" s="27"/>
    </row>
    <row r="17">
      <c r="B17" s="127">
        <v>14.0</v>
      </c>
      <c r="C17" s="127"/>
      <c r="D17" s="52">
        <v>0.0</v>
      </c>
      <c r="E17" s="53">
        <v>0.0</v>
      </c>
      <c r="F17" s="53">
        <v>1.0</v>
      </c>
      <c r="G17" s="53">
        <v>0.0</v>
      </c>
      <c r="H17" s="54">
        <v>0.0</v>
      </c>
      <c r="I17" s="127" t="str">
        <f t="shared" si="1"/>
        <v/>
      </c>
      <c r="J17" s="127"/>
      <c r="K17" s="127">
        <v>1.0</v>
      </c>
      <c r="L17" s="127">
        <v>2.0</v>
      </c>
      <c r="M17" s="127">
        <v>3.0</v>
      </c>
      <c r="N17" s="127">
        <v>4.0</v>
      </c>
      <c r="O17" s="127">
        <v>5.0</v>
      </c>
      <c r="P17" s="127">
        <f t="shared" si="2"/>
        <v>3</v>
      </c>
      <c r="Q17" s="27"/>
      <c r="R17" s="27"/>
    </row>
    <row r="18">
      <c r="B18" s="127">
        <v>15.0</v>
      </c>
      <c r="C18" s="127"/>
      <c r="D18" s="52">
        <v>0.0</v>
      </c>
      <c r="E18" s="53">
        <v>0.0</v>
      </c>
      <c r="F18" s="53">
        <v>0.0</v>
      </c>
      <c r="G18" s="53">
        <v>0.0</v>
      </c>
      <c r="H18" s="54">
        <v>1.0</v>
      </c>
      <c r="I18" s="127" t="str">
        <f t="shared" si="1"/>
        <v/>
      </c>
      <c r="J18" s="127"/>
      <c r="K18" s="127">
        <v>1.0</v>
      </c>
      <c r="L18" s="127">
        <v>2.0</v>
      </c>
      <c r="M18" s="127">
        <v>3.0</v>
      </c>
      <c r="N18" s="127">
        <v>4.0</v>
      </c>
      <c r="O18" s="127">
        <v>5.0</v>
      </c>
      <c r="P18" s="127">
        <f t="shared" si="2"/>
        <v>5</v>
      </c>
      <c r="Q18" s="27"/>
      <c r="R18" s="27"/>
    </row>
    <row r="19" ht="15.0" customHeight="1">
      <c r="B19" s="127">
        <v>16.0</v>
      </c>
      <c r="C19" s="127"/>
      <c r="D19" s="52">
        <v>0.0</v>
      </c>
      <c r="E19" s="53">
        <v>1.0</v>
      </c>
      <c r="F19" s="53">
        <v>0.0</v>
      </c>
      <c r="G19" s="53">
        <v>0.0</v>
      </c>
      <c r="H19" s="54">
        <v>0.0</v>
      </c>
      <c r="I19" s="127" t="str">
        <f t="shared" si="1"/>
        <v/>
      </c>
      <c r="J19" s="127"/>
      <c r="K19" s="127">
        <v>1.0</v>
      </c>
      <c r="L19" s="127">
        <v>2.0</v>
      </c>
      <c r="M19" s="127">
        <v>3.0</v>
      </c>
      <c r="N19" s="127">
        <v>4.0</v>
      </c>
      <c r="O19" s="127">
        <v>5.0</v>
      </c>
      <c r="P19" s="127">
        <f t="shared" si="2"/>
        <v>2</v>
      </c>
      <c r="Q19" s="27"/>
      <c r="R19" s="27"/>
    </row>
    <row r="20">
      <c r="B20" s="127">
        <v>17.0</v>
      </c>
      <c r="C20" s="127"/>
      <c r="D20" s="52">
        <v>1.0</v>
      </c>
      <c r="E20" s="53">
        <v>0.0</v>
      </c>
      <c r="F20" s="53">
        <v>0.0</v>
      </c>
      <c r="G20" s="53">
        <v>0.0</v>
      </c>
      <c r="H20" s="54">
        <v>0.0</v>
      </c>
      <c r="I20" s="127" t="str">
        <f t="shared" si="1"/>
        <v/>
      </c>
      <c r="J20" s="127"/>
      <c r="K20" s="127">
        <v>1.0</v>
      </c>
      <c r="L20" s="127">
        <v>2.0</v>
      </c>
      <c r="M20" s="127">
        <v>3.0</v>
      </c>
      <c r="N20" s="127">
        <v>4.0</v>
      </c>
      <c r="O20" s="127">
        <v>5.0</v>
      </c>
      <c r="P20" s="127">
        <f t="shared" si="2"/>
        <v>1</v>
      </c>
      <c r="Q20" s="27"/>
      <c r="R20" s="27"/>
    </row>
    <row r="21" ht="15.75" customHeight="1">
      <c r="B21" s="127">
        <v>18.0</v>
      </c>
      <c r="C21" s="127"/>
      <c r="D21" s="52">
        <v>0.0</v>
      </c>
      <c r="E21" s="53">
        <v>0.0</v>
      </c>
      <c r="F21" s="53">
        <v>1.0</v>
      </c>
      <c r="G21" s="53">
        <v>0.0</v>
      </c>
      <c r="H21" s="54">
        <v>0.0</v>
      </c>
      <c r="I21" s="127" t="str">
        <f t="shared" si="1"/>
        <v/>
      </c>
      <c r="J21" s="127"/>
      <c r="K21" s="127">
        <v>1.0</v>
      </c>
      <c r="L21" s="127">
        <v>2.0</v>
      </c>
      <c r="M21" s="127">
        <v>3.0</v>
      </c>
      <c r="N21" s="127">
        <v>4.0</v>
      </c>
      <c r="O21" s="127">
        <v>5.0</v>
      </c>
      <c r="P21" s="127">
        <f t="shared" si="2"/>
        <v>3</v>
      </c>
      <c r="Q21" s="37"/>
      <c r="R21" s="37"/>
    </row>
    <row r="22" ht="15.75" customHeight="1">
      <c r="B22" s="129">
        <v>19.0</v>
      </c>
      <c r="C22" s="129"/>
      <c r="D22" s="52">
        <v>0.0</v>
      </c>
      <c r="E22" s="53">
        <v>1.0</v>
      </c>
      <c r="F22" s="53">
        <v>0.0</v>
      </c>
      <c r="G22" s="53">
        <v>0.0</v>
      </c>
      <c r="H22" s="54">
        <v>0.0</v>
      </c>
      <c r="I22" s="129" t="str">
        <f t="shared" si="1"/>
        <v/>
      </c>
      <c r="J22" s="129"/>
      <c r="K22" s="129">
        <v>1.0</v>
      </c>
      <c r="L22" s="129">
        <v>2.0</v>
      </c>
      <c r="M22" s="129">
        <v>3.0</v>
      </c>
      <c r="N22" s="129">
        <v>4.0</v>
      </c>
      <c r="O22" s="129">
        <v>5.0</v>
      </c>
      <c r="P22" s="129">
        <f t="shared" si="2"/>
        <v>2</v>
      </c>
      <c r="Q22" s="130">
        <f>SUM(P22:P45)</f>
        <v>79</v>
      </c>
      <c r="R22" s="130" t="str">
        <f>IF(Q22&lt;=41,"MUY BAJO",IF(AND(Q22&gt;=42,Q22&lt;=52),"BAJO",IF(AND(Q22&gt;=53,Q22&lt;=72),"PROMEDIO",IF(AND(Q22&gt;=73,Q22&lt;=90),"ALTO","MUY ALTO"))))</f>
        <v>ALTO</v>
      </c>
    </row>
    <row r="23" ht="15.75" customHeight="1">
      <c r="B23" s="129">
        <v>20.0</v>
      </c>
      <c r="C23" s="129"/>
      <c r="D23" s="52">
        <v>0.0</v>
      </c>
      <c r="E23" s="53">
        <v>0.0</v>
      </c>
      <c r="F23" s="53">
        <v>0.0</v>
      </c>
      <c r="G23" s="53">
        <v>1.0</v>
      </c>
      <c r="H23" s="54">
        <v>0.0</v>
      </c>
      <c r="I23" s="129" t="str">
        <f t="shared" si="1"/>
        <v/>
      </c>
      <c r="J23" s="129"/>
      <c r="K23" s="129">
        <v>1.0</v>
      </c>
      <c r="L23" s="129">
        <v>2.0</v>
      </c>
      <c r="M23" s="129">
        <v>3.0</v>
      </c>
      <c r="N23" s="129">
        <v>4.0</v>
      </c>
      <c r="O23" s="129">
        <v>5.0</v>
      </c>
      <c r="P23" s="129">
        <f t="shared" si="2"/>
        <v>4</v>
      </c>
      <c r="Q23" s="27"/>
      <c r="R23" s="27"/>
    </row>
    <row r="24" ht="15.75" customHeight="1">
      <c r="B24" s="129">
        <v>21.0</v>
      </c>
      <c r="C24" s="129"/>
      <c r="D24" s="60">
        <v>0.0</v>
      </c>
      <c r="E24" s="61">
        <v>0.0</v>
      </c>
      <c r="F24" s="61">
        <v>0.0</v>
      </c>
      <c r="G24" s="61">
        <v>1.0</v>
      </c>
      <c r="H24" s="62">
        <v>0.0</v>
      </c>
      <c r="I24" s="129" t="str">
        <f t="shared" si="1"/>
        <v/>
      </c>
      <c r="J24" s="129"/>
      <c r="K24" s="129">
        <v>1.0</v>
      </c>
      <c r="L24" s="129">
        <v>2.0</v>
      </c>
      <c r="M24" s="129">
        <v>3.0</v>
      </c>
      <c r="N24" s="129">
        <v>4.0</v>
      </c>
      <c r="O24" s="129">
        <v>5.0</v>
      </c>
      <c r="P24" s="129">
        <f t="shared" si="2"/>
        <v>4</v>
      </c>
      <c r="Q24" s="27"/>
      <c r="R24" s="27"/>
    </row>
    <row r="25" ht="15.75" customHeight="1">
      <c r="B25" s="129">
        <v>22.0</v>
      </c>
      <c r="C25" s="129"/>
      <c r="D25" s="69">
        <v>0.0</v>
      </c>
      <c r="E25" s="70">
        <v>0.0</v>
      </c>
      <c r="F25" s="70">
        <v>1.0</v>
      </c>
      <c r="G25" s="70">
        <v>0.0</v>
      </c>
      <c r="H25" s="71">
        <v>0.0</v>
      </c>
      <c r="I25" s="129" t="str">
        <f t="shared" si="1"/>
        <v/>
      </c>
      <c r="J25" s="129"/>
      <c r="K25" s="129">
        <v>1.0</v>
      </c>
      <c r="L25" s="129">
        <v>2.0</v>
      </c>
      <c r="M25" s="129">
        <v>3.0</v>
      </c>
      <c r="N25" s="129">
        <v>4.0</v>
      </c>
      <c r="O25" s="129">
        <v>5.0</v>
      </c>
      <c r="P25" s="129">
        <f t="shared" si="2"/>
        <v>3</v>
      </c>
      <c r="Q25" s="27"/>
      <c r="R25" s="27"/>
    </row>
    <row r="26" ht="15.75" customHeight="1">
      <c r="B26" s="129">
        <v>23.0</v>
      </c>
      <c r="C26" s="129"/>
      <c r="D26" s="81">
        <v>0.0</v>
      </c>
      <c r="E26" s="82">
        <v>1.0</v>
      </c>
      <c r="F26" s="82">
        <v>0.0</v>
      </c>
      <c r="G26" s="82">
        <v>0.0</v>
      </c>
      <c r="H26" s="83">
        <v>0.0</v>
      </c>
      <c r="I26" s="129" t="str">
        <f t="shared" si="1"/>
        <v/>
      </c>
      <c r="J26" s="129"/>
      <c r="K26" s="129">
        <v>1.0</v>
      </c>
      <c r="L26" s="129">
        <v>2.0</v>
      </c>
      <c r="M26" s="129">
        <v>3.0</v>
      </c>
      <c r="N26" s="129">
        <v>4.0</v>
      </c>
      <c r="O26" s="129">
        <v>5.0</v>
      </c>
      <c r="P26" s="129">
        <f t="shared" si="2"/>
        <v>2</v>
      </c>
      <c r="Q26" s="27"/>
      <c r="R26" s="27"/>
    </row>
    <row r="27" ht="15.75" customHeight="1">
      <c r="B27" s="129">
        <v>24.0</v>
      </c>
      <c r="C27" s="129"/>
      <c r="D27" s="81">
        <v>0.0</v>
      </c>
      <c r="E27" s="82">
        <v>0.0</v>
      </c>
      <c r="F27" s="82">
        <v>0.0</v>
      </c>
      <c r="G27" s="82">
        <v>0.0</v>
      </c>
      <c r="H27" s="83">
        <v>1.0</v>
      </c>
      <c r="I27" s="129" t="str">
        <f t="shared" si="1"/>
        <v/>
      </c>
      <c r="J27" s="129"/>
      <c r="K27" s="129">
        <v>1.0</v>
      </c>
      <c r="L27" s="129">
        <v>2.0</v>
      </c>
      <c r="M27" s="129">
        <v>3.0</v>
      </c>
      <c r="N27" s="129">
        <v>4.0</v>
      </c>
      <c r="O27" s="129">
        <v>5.0</v>
      </c>
      <c r="P27" s="129">
        <f t="shared" si="2"/>
        <v>5</v>
      </c>
      <c r="Q27" s="27"/>
      <c r="R27" s="27"/>
    </row>
    <row r="28" ht="15.75" customHeight="1">
      <c r="B28" s="129">
        <v>25.0</v>
      </c>
      <c r="C28" s="129"/>
      <c r="D28" s="81">
        <v>0.0</v>
      </c>
      <c r="E28" s="82">
        <v>0.0</v>
      </c>
      <c r="F28" s="82">
        <v>1.0</v>
      </c>
      <c r="G28" s="82">
        <v>0.0</v>
      </c>
      <c r="H28" s="83">
        <v>0.0</v>
      </c>
      <c r="I28" s="129" t="str">
        <f t="shared" si="1"/>
        <v/>
      </c>
      <c r="J28" s="129"/>
      <c r="K28" s="129">
        <v>1.0</v>
      </c>
      <c r="L28" s="129">
        <v>2.0</v>
      </c>
      <c r="M28" s="129">
        <v>3.0</v>
      </c>
      <c r="N28" s="129">
        <v>4.0</v>
      </c>
      <c r="O28" s="129">
        <v>5.0</v>
      </c>
      <c r="P28" s="129">
        <f t="shared" si="2"/>
        <v>3</v>
      </c>
      <c r="Q28" s="27"/>
      <c r="R28" s="27"/>
    </row>
    <row r="29" ht="15.75" customHeight="1">
      <c r="B29" s="129">
        <v>26.0</v>
      </c>
      <c r="C29" s="129"/>
      <c r="D29" s="81">
        <v>0.0</v>
      </c>
      <c r="E29" s="82">
        <v>0.0</v>
      </c>
      <c r="F29" s="82">
        <v>0.0</v>
      </c>
      <c r="G29" s="82">
        <v>0.0</v>
      </c>
      <c r="H29" s="83">
        <v>1.0</v>
      </c>
      <c r="I29" s="129" t="str">
        <f t="shared" si="1"/>
        <v/>
      </c>
      <c r="J29" s="129"/>
      <c r="K29" s="129">
        <v>1.0</v>
      </c>
      <c r="L29" s="129">
        <v>2.0</v>
      </c>
      <c r="M29" s="129">
        <v>3.0</v>
      </c>
      <c r="N29" s="129">
        <v>4.0</v>
      </c>
      <c r="O29" s="129">
        <v>5.0</v>
      </c>
      <c r="P29" s="129">
        <f t="shared" si="2"/>
        <v>5</v>
      </c>
      <c r="Q29" s="27"/>
      <c r="R29" s="27"/>
    </row>
    <row r="30" ht="15.75" customHeight="1">
      <c r="B30" s="129">
        <v>27.0</v>
      </c>
      <c r="C30" s="129"/>
      <c r="D30" s="81">
        <v>0.0</v>
      </c>
      <c r="E30" s="82">
        <v>0.0</v>
      </c>
      <c r="F30" s="82">
        <v>0.0</v>
      </c>
      <c r="G30" s="82">
        <v>1.0</v>
      </c>
      <c r="H30" s="83">
        <v>0.0</v>
      </c>
      <c r="I30" s="129" t="str">
        <f t="shared" si="1"/>
        <v/>
      </c>
      <c r="J30" s="129"/>
      <c r="K30" s="129">
        <v>1.0</v>
      </c>
      <c r="L30" s="129">
        <v>2.0</v>
      </c>
      <c r="M30" s="129">
        <v>3.0</v>
      </c>
      <c r="N30" s="129">
        <v>4.0</v>
      </c>
      <c r="O30" s="129">
        <v>5.0</v>
      </c>
      <c r="P30" s="129">
        <f t="shared" si="2"/>
        <v>4</v>
      </c>
      <c r="Q30" s="27"/>
      <c r="R30" s="27"/>
    </row>
    <row r="31" ht="15.75" customHeight="1">
      <c r="B31" s="129">
        <v>28.0</v>
      </c>
      <c r="C31" s="129"/>
      <c r="D31" s="81">
        <v>1.0</v>
      </c>
      <c r="E31" s="82">
        <v>0.0</v>
      </c>
      <c r="F31" s="82">
        <v>0.0</v>
      </c>
      <c r="G31" s="82">
        <v>0.0</v>
      </c>
      <c r="H31" s="83">
        <v>0.0</v>
      </c>
      <c r="I31" s="129" t="str">
        <f t="shared" si="1"/>
        <v/>
      </c>
      <c r="J31" s="129"/>
      <c r="K31" s="129">
        <v>1.0</v>
      </c>
      <c r="L31" s="129">
        <v>2.0</v>
      </c>
      <c r="M31" s="129">
        <v>3.0</v>
      </c>
      <c r="N31" s="129">
        <v>4.0</v>
      </c>
      <c r="O31" s="129">
        <v>5.0</v>
      </c>
      <c r="P31" s="129">
        <f t="shared" si="2"/>
        <v>1</v>
      </c>
      <c r="Q31" s="27"/>
      <c r="R31" s="27"/>
    </row>
    <row r="32" ht="15.75" customHeight="1">
      <c r="B32" s="129">
        <v>29.0</v>
      </c>
      <c r="C32" s="129"/>
      <c r="D32" s="81">
        <v>0.0</v>
      </c>
      <c r="E32" s="82">
        <v>1.0</v>
      </c>
      <c r="F32" s="82">
        <v>0.0</v>
      </c>
      <c r="G32" s="82">
        <v>0.0</v>
      </c>
      <c r="H32" s="83">
        <v>0.0</v>
      </c>
      <c r="I32" s="129" t="str">
        <f t="shared" si="1"/>
        <v/>
      </c>
      <c r="J32" s="129"/>
      <c r="K32" s="129">
        <v>1.0</v>
      </c>
      <c r="L32" s="129">
        <v>2.0</v>
      </c>
      <c r="M32" s="129">
        <v>3.0</v>
      </c>
      <c r="N32" s="129">
        <v>4.0</v>
      </c>
      <c r="O32" s="129">
        <v>5.0</v>
      </c>
      <c r="P32" s="129">
        <f t="shared" si="2"/>
        <v>2</v>
      </c>
      <c r="Q32" s="27"/>
      <c r="R32" s="27"/>
    </row>
    <row r="33" ht="15.75" customHeight="1">
      <c r="B33" s="129">
        <v>30.0</v>
      </c>
      <c r="C33" s="129"/>
      <c r="D33" s="81">
        <v>0.0</v>
      </c>
      <c r="E33" s="82">
        <v>0.0</v>
      </c>
      <c r="F33" s="82">
        <v>0.0</v>
      </c>
      <c r="G33" s="82">
        <v>0.0</v>
      </c>
      <c r="H33" s="83">
        <v>1.0</v>
      </c>
      <c r="I33" s="129" t="str">
        <f t="shared" si="1"/>
        <v/>
      </c>
      <c r="J33" s="129"/>
      <c r="K33" s="129">
        <v>1.0</v>
      </c>
      <c r="L33" s="129">
        <v>2.0</v>
      </c>
      <c r="M33" s="129">
        <v>3.0</v>
      </c>
      <c r="N33" s="129">
        <v>4.0</v>
      </c>
      <c r="O33" s="129">
        <v>5.0</v>
      </c>
      <c r="P33" s="129">
        <f t="shared" si="2"/>
        <v>5</v>
      </c>
      <c r="Q33" s="27"/>
      <c r="R33" s="27"/>
    </row>
    <row r="34" ht="15.75" customHeight="1">
      <c r="B34" s="129">
        <v>31.0</v>
      </c>
      <c r="C34" s="129"/>
      <c r="D34" s="81">
        <v>0.0</v>
      </c>
      <c r="E34" s="82">
        <v>0.0</v>
      </c>
      <c r="F34" s="82">
        <v>0.0</v>
      </c>
      <c r="G34" s="82">
        <v>0.0</v>
      </c>
      <c r="H34" s="83">
        <v>1.0</v>
      </c>
      <c r="I34" s="129" t="str">
        <f t="shared" si="1"/>
        <v/>
      </c>
      <c r="J34" s="129"/>
      <c r="K34" s="129">
        <v>1.0</v>
      </c>
      <c r="L34" s="129">
        <v>2.0</v>
      </c>
      <c r="M34" s="129">
        <v>3.0</v>
      </c>
      <c r="N34" s="129">
        <v>4.0</v>
      </c>
      <c r="O34" s="129">
        <v>5.0</v>
      </c>
      <c r="P34" s="129">
        <f t="shared" si="2"/>
        <v>5</v>
      </c>
      <c r="Q34" s="27"/>
      <c r="R34" s="27"/>
    </row>
    <row r="35" ht="15.75" customHeight="1">
      <c r="B35" s="129">
        <v>32.0</v>
      </c>
      <c r="C35" s="129"/>
      <c r="D35" s="81">
        <v>0.0</v>
      </c>
      <c r="E35" s="82">
        <v>0.0</v>
      </c>
      <c r="F35" s="82">
        <v>0.0</v>
      </c>
      <c r="G35" s="82">
        <v>0.0</v>
      </c>
      <c r="H35" s="83">
        <v>1.0</v>
      </c>
      <c r="I35" s="129" t="str">
        <f t="shared" si="1"/>
        <v/>
      </c>
      <c r="J35" s="129"/>
      <c r="K35" s="129">
        <v>1.0</v>
      </c>
      <c r="L35" s="129">
        <v>2.0</v>
      </c>
      <c r="M35" s="129">
        <v>3.0</v>
      </c>
      <c r="N35" s="129">
        <v>4.0</v>
      </c>
      <c r="O35" s="129">
        <v>5.0</v>
      </c>
      <c r="P35" s="129">
        <f t="shared" si="2"/>
        <v>5</v>
      </c>
      <c r="Q35" s="27"/>
      <c r="R35" s="27"/>
    </row>
    <row r="36" ht="15.75" customHeight="1">
      <c r="B36" s="129">
        <v>33.0</v>
      </c>
      <c r="C36" s="129"/>
      <c r="D36" s="90">
        <v>1.0</v>
      </c>
      <c r="E36" s="91">
        <v>0.0</v>
      </c>
      <c r="F36" s="91">
        <v>0.0</v>
      </c>
      <c r="G36" s="91">
        <v>0.0</v>
      </c>
      <c r="H36" s="92">
        <v>0.0</v>
      </c>
      <c r="I36" s="129" t="str">
        <f t="shared" si="1"/>
        <v/>
      </c>
      <c r="J36" s="129"/>
      <c r="K36" s="129">
        <v>1.0</v>
      </c>
      <c r="L36" s="129">
        <v>2.0</v>
      </c>
      <c r="M36" s="129">
        <v>3.0</v>
      </c>
      <c r="N36" s="129">
        <v>4.0</v>
      </c>
      <c r="O36" s="129">
        <v>5.0</v>
      </c>
      <c r="P36" s="129">
        <f t="shared" si="2"/>
        <v>1</v>
      </c>
      <c r="Q36" s="27"/>
      <c r="R36" s="27"/>
    </row>
    <row r="37" ht="15.75" customHeight="1">
      <c r="B37" s="129">
        <v>34.0</v>
      </c>
      <c r="C37" s="129"/>
      <c r="D37" s="99">
        <v>0.0</v>
      </c>
      <c r="E37" s="100">
        <v>0.0</v>
      </c>
      <c r="F37" s="100">
        <v>1.0</v>
      </c>
      <c r="G37" s="100">
        <v>0.0</v>
      </c>
      <c r="H37" s="101">
        <v>0.0</v>
      </c>
      <c r="I37" s="129" t="str">
        <f t="shared" si="1"/>
        <v/>
      </c>
      <c r="J37" s="129"/>
      <c r="K37" s="129">
        <v>1.0</v>
      </c>
      <c r="L37" s="129">
        <v>2.0</v>
      </c>
      <c r="M37" s="129">
        <v>3.0</v>
      </c>
      <c r="N37" s="129">
        <v>4.0</v>
      </c>
      <c r="O37" s="129">
        <v>5.0</v>
      </c>
      <c r="P37" s="129">
        <f t="shared" si="2"/>
        <v>3</v>
      </c>
      <c r="Q37" s="27"/>
      <c r="R37" s="27"/>
    </row>
    <row r="38" ht="15.75" customHeight="1">
      <c r="B38" s="129">
        <v>35.0</v>
      </c>
      <c r="C38" s="129"/>
      <c r="D38" s="111">
        <v>1.0</v>
      </c>
      <c r="E38" s="112">
        <v>0.0</v>
      </c>
      <c r="F38" s="112">
        <v>0.0</v>
      </c>
      <c r="G38" s="112">
        <v>0.0</v>
      </c>
      <c r="H38" s="113">
        <v>0.0</v>
      </c>
      <c r="I38" s="129" t="str">
        <f t="shared" si="1"/>
        <v/>
      </c>
      <c r="J38" s="129"/>
      <c r="K38" s="129">
        <v>1.0</v>
      </c>
      <c r="L38" s="129">
        <v>2.0</v>
      </c>
      <c r="M38" s="129">
        <v>3.0</v>
      </c>
      <c r="N38" s="129">
        <v>4.0</v>
      </c>
      <c r="O38" s="129">
        <v>5.0</v>
      </c>
      <c r="P38" s="129">
        <f t="shared" si="2"/>
        <v>1</v>
      </c>
      <c r="Q38" s="27"/>
      <c r="R38" s="27"/>
    </row>
    <row r="39" ht="15.75" customHeight="1">
      <c r="B39" s="129">
        <v>36.0</v>
      </c>
      <c r="C39" s="129"/>
      <c r="D39" s="111">
        <v>1.0</v>
      </c>
      <c r="E39" s="112">
        <v>0.0</v>
      </c>
      <c r="F39" s="112">
        <v>0.0</v>
      </c>
      <c r="G39" s="112">
        <v>0.0</v>
      </c>
      <c r="H39" s="113">
        <v>0.0</v>
      </c>
      <c r="I39" s="129" t="str">
        <f t="shared" si="1"/>
        <v/>
      </c>
      <c r="J39" s="129"/>
      <c r="K39" s="129">
        <v>5.0</v>
      </c>
      <c r="L39" s="129">
        <v>4.0</v>
      </c>
      <c r="M39" s="129">
        <v>3.0</v>
      </c>
      <c r="N39" s="129">
        <v>2.0</v>
      </c>
      <c r="O39" s="129">
        <v>1.0</v>
      </c>
      <c r="P39" s="129">
        <f t="shared" si="2"/>
        <v>5</v>
      </c>
      <c r="Q39" s="27"/>
      <c r="R39" s="27"/>
    </row>
    <row r="40" ht="15.75" customHeight="1">
      <c r="B40" s="129">
        <v>37.0</v>
      </c>
      <c r="C40" s="129"/>
      <c r="D40" s="111">
        <v>0.0</v>
      </c>
      <c r="E40" s="112">
        <v>1.0</v>
      </c>
      <c r="F40" s="112">
        <v>0.0</v>
      </c>
      <c r="G40" s="112">
        <v>0.0</v>
      </c>
      <c r="H40" s="113">
        <v>0.0</v>
      </c>
      <c r="I40" s="129" t="str">
        <f t="shared" si="1"/>
        <v/>
      </c>
      <c r="J40" s="129"/>
      <c r="K40" s="129">
        <v>5.0</v>
      </c>
      <c r="L40" s="129">
        <v>4.0</v>
      </c>
      <c r="M40" s="129">
        <v>3.0</v>
      </c>
      <c r="N40" s="129">
        <v>2.0</v>
      </c>
      <c r="O40" s="129">
        <v>1.0</v>
      </c>
      <c r="P40" s="129">
        <f t="shared" si="2"/>
        <v>4</v>
      </c>
      <c r="Q40" s="27"/>
      <c r="R40" s="27"/>
    </row>
    <row r="41" ht="15.75" customHeight="1">
      <c r="B41" s="129">
        <v>38.0</v>
      </c>
      <c r="C41" s="129"/>
      <c r="D41" s="111">
        <v>0.0</v>
      </c>
      <c r="E41" s="112">
        <v>0.0</v>
      </c>
      <c r="F41" s="112">
        <v>0.0</v>
      </c>
      <c r="G41" s="112">
        <v>0.0</v>
      </c>
      <c r="H41" s="113">
        <v>1.0</v>
      </c>
      <c r="I41" s="129" t="str">
        <f t="shared" si="1"/>
        <v/>
      </c>
      <c r="J41" s="129"/>
      <c r="K41" s="129">
        <v>1.0</v>
      </c>
      <c r="L41" s="129">
        <v>2.0</v>
      </c>
      <c r="M41" s="129">
        <v>3.0</v>
      </c>
      <c r="N41" s="129">
        <v>4.0</v>
      </c>
      <c r="O41" s="129">
        <v>5.0</v>
      </c>
      <c r="P41" s="129">
        <f t="shared" si="2"/>
        <v>5</v>
      </c>
      <c r="Q41" s="27"/>
      <c r="R41" s="27"/>
    </row>
    <row r="42" ht="15.75" customHeight="1">
      <c r="B42" s="129">
        <v>39.0</v>
      </c>
      <c r="C42" s="129"/>
      <c r="D42" s="111">
        <v>0.0</v>
      </c>
      <c r="E42" s="112">
        <v>0.0</v>
      </c>
      <c r="F42" s="112">
        <v>1.0</v>
      </c>
      <c r="G42" s="112">
        <v>0.0</v>
      </c>
      <c r="H42" s="113">
        <v>0.0</v>
      </c>
      <c r="I42" s="129" t="str">
        <f t="shared" si="1"/>
        <v/>
      </c>
      <c r="J42" s="129"/>
      <c r="K42" s="129">
        <v>1.0</v>
      </c>
      <c r="L42" s="129">
        <v>2.0</v>
      </c>
      <c r="M42" s="129">
        <v>3.0</v>
      </c>
      <c r="N42" s="129">
        <v>4.0</v>
      </c>
      <c r="O42" s="129">
        <v>5.0</v>
      </c>
      <c r="P42" s="129">
        <f t="shared" si="2"/>
        <v>3</v>
      </c>
      <c r="Q42" s="27"/>
      <c r="R42" s="27"/>
    </row>
    <row r="43" ht="15.75" customHeight="1">
      <c r="B43" s="129">
        <v>40.0</v>
      </c>
      <c r="C43" s="129"/>
      <c r="D43" s="111">
        <v>0.0</v>
      </c>
      <c r="E43" s="112">
        <v>1.0</v>
      </c>
      <c r="F43" s="112">
        <v>0.0</v>
      </c>
      <c r="G43" s="112">
        <v>0.0</v>
      </c>
      <c r="H43" s="113">
        <v>0.0</v>
      </c>
      <c r="I43" s="129" t="str">
        <f t="shared" si="1"/>
        <v/>
      </c>
      <c r="J43" s="129"/>
      <c r="K43" s="129">
        <v>1.0</v>
      </c>
      <c r="L43" s="129">
        <v>2.0</v>
      </c>
      <c r="M43" s="129">
        <v>3.0</v>
      </c>
      <c r="N43" s="129">
        <v>4.0</v>
      </c>
      <c r="O43" s="129">
        <v>5.0</v>
      </c>
      <c r="P43" s="129">
        <f t="shared" si="2"/>
        <v>2</v>
      </c>
      <c r="Q43" s="27"/>
      <c r="R43" s="27"/>
    </row>
    <row r="44" ht="15.75" customHeight="1">
      <c r="B44" s="129">
        <v>41.0</v>
      </c>
      <c r="C44" s="129"/>
      <c r="D44" s="111">
        <v>0.0</v>
      </c>
      <c r="E44" s="112">
        <v>0.0</v>
      </c>
      <c r="F44" s="112">
        <v>1.0</v>
      </c>
      <c r="G44" s="112">
        <v>0.0</v>
      </c>
      <c r="H44" s="113">
        <v>0.0</v>
      </c>
      <c r="I44" s="129" t="str">
        <f t="shared" si="1"/>
        <v/>
      </c>
      <c r="J44" s="129"/>
      <c r="K44" s="129">
        <v>1.0</v>
      </c>
      <c r="L44" s="129">
        <v>2.0</v>
      </c>
      <c r="M44" s="129">
        <v>3.0</v>
      </c>
      <c r="N44" s="129">
        <v>4.0</v>
      </c>
      <c r="O44" s="129">
        <v>5.0</v>
      </c>
      <c r="P44" s="129">
        <f t="shared" si="2"/>
        <v>3</v>
      </c>
      <c r="Q44" s="27"/>
      <c r="R44" s="27"/>
    </row>
    <row r="45" ht="15.75" customHeight="1">
      <c r="B45" s="129">
        <v>42.0</v>
      </c>
      <c r="C45" s="129"/>
      <c r="D45" s="119">
        <v>0.0</v>
      </c>
      <c r="E45" s="120">
        <v>1.0</v>
      </c>
      <c r="F45" s="120">
        <v>0.0</v>
      </c>
      <c r="G45" s="120">
        <v>0.0</v>
      </c>
      <c r="H45" s="121">
        <v>0.0</v>
      </c>
      <c r="I45" s="129" t="str">
        <f t="shared" si="1"/>
        <v/>
      </c>
      <c r="J45" s="129"/>
      <c r="K45" s="129">
        <v>1.0</v>
      </c>
      <c r="L45" s="129">
        <v>2.0</v>
      </c>
      <c r="M45" s="129">
        <v>3.0</v>
      </c>
      <c r="N45" s="129">
        <v>4.0</v>
      </c>
      <c r="O45" s="129">
        <v>5.0</v>
      </c>
      <c r="P45" s="129">
        <f t="shared" si="2"/>
        <v>2</v>
      </c>
      <c r="Q45" s="37"/>
      <c r="R45" s="3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Q4:Q14"/>
    <mergeCell ref="R4:R14"/>
    <mergeCell ref="Q15:Q21"/>
    <mergeCell ref="R15:R21"/>
    <mergeCell ref="Q22:Q45"/>
    <mergeCell ref="R22:R45"/>
  </mergeCells>
  <conditionalFormatting sqref="D4:H45">
    <cfRule type="cellIs" dxfId="0" priority="1" operator="equal">
      <formula>1</formula>
    </cfRule>
  </conditionalFormatting>
  <conditionalFormatting sqref="D4:H45">
    <cfRule type="cellIs" dxfId="0" priority="2" operator="equal">
      <formula>"X"</formula>
    </cfRule>
  </conditionalFormatting>
  <conditionalFormatting sqref="D4:H45">
    <cfRule type="cellIs" dxfId="0" priority="3" operator="equal">
      <formula>1</formula>
    </cfRule>
  </conditionalFormatting>
  <conditionalFormatting sqref="D4:H45">
    <cfRule type="cellIs" dxfId="0" priority="4" operator="equal">
      <formula>"X"</formula>
    </cfRule>
  </conditionalFormatting>
  <dataValidations>
    <dataValidation type="list" allowBlank="1" showErrorMessage="1" sqref="D4:H45">
      <formula1>$J$3:$J$4</formula1>
    </dataValidation>
  </dataValidations>
  <printOptions/>
  <pageMargins bottom="0.75" footer="0.0" header="0.0" left="0.7" right="0.7" top="0.75"/>
  <pageSetup orientation="portrait"/>
  <colBreaks count="1" manualBreakCount="1">
    <brk id="18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2012-03-28T22:59:12Z</dcterms:created>
  <dc:creator>Juan Carlos Untiveros</dc:creator>
</cp:coreProperties>
</file>