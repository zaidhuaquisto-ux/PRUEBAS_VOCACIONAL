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est\TEST II\"/>
    </mc:Choice>
  </mc:AlternateContent>
  <bookViews>
    <workbookView xWindow="0" yWindow="0" windowWidth="20490" windowHeight="7530" activeTab="2"/>
  </bookViews>
  <sheets>
    <sheet name="CUESTIONARIO" sheetId="1" r:id="rId1"/>
    <sheet name="RESULTADOS" sheetId="3" r:id="rId2"/>
    <sheet name="HOMBRES" sheetId="4" r:id="rId3"/>
    <sheet name="MUJERES" sheetId="8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8" l="1"/>
  <c r="F3" i="8"/>
  <c r="G3" i="8"/>
  <c r="H3" i="8"/>
  <c r="I3" i="8"/>
  <c r="J3" i="8"/>
  <c r="D3" i="8"/>
  <c r="E3" i="4"/>
  <c r="F3" i="4"/>
  <c r="G3" i="4"/>
  <c r="H3" i="4"/>
  <c r="I3" i="4"/>
  <c r="J3" i="4"/>
  <c r="D3" i="4"/>
  <c r="B2" i="3" l="1"/>
  <c r="C2" i="3"/>
  <c r="C1" i="3"/>
  <c r="B1" i="3"/>
  <c r="J2" i="8"/>
  <c r="I2" i="8"/>
  <c r="H2" i="8"/>
  <c r="G2" i="8"/>
  <c r="F2" i="8"/>
  <c r="E2" i="8"/>
  <c r="D2" i="8"/>
  <c r="H6" i="8"/>
  <c r="H6" i="4"/>
  <c r="E2" i="4"/>
  <c r="F2" i="4"/>
  <c r="G2" i="4"/>
  <c r="H2" i="4"/>
  <c r="I2" i="4"/>
  <c r="J2" i="4"/>
  <c r="D2" i="4"/>
  <c r="F29" i="3"/>
  <c r="E29" i="3"/>
  <c r="D29" i="3"/>
  <c r="C29" i="3"/>
  <c r="F22" i="3"/>
  <c r="E22" i="3"/>
  <c r="D22" i="3"/>
  <c r="C22" i="3"/>
  <c r="F20" i="3"/>
  <c r="E20" i="3"/>
  <c r="D20" i="3"/>
  <c r="C20" i="3"/>
  <c r="F11" i="3"/>
  <c r="E11" i="3"/>
  <c r="D11" i="3"/>
  <c r="C11" i="3"/>
  <c r="F7" i="3"/>
  <c r="E7" i="3"/>
  <c r="D7" i="3"/>
  <c r="C7" i="3"/>
  <c r="C6" i="3"/>
  <c r="D6" i="3"/>
  <c r="E6" i="3"/>
  <c r="F6" i="3"/>
  <c r="C8" i="3"/>
  <c r="D8" i="3"/>
  <c r="E8" i="3"/>
  <c r="F8" i="3"/>
  <c r="C9" i="3"/>
  <c r="D9" i="3"/>
  <c r="E9" i="3"/>
  <c r="F9" i="3"/>
  <c r="C10" i="3"/>
  <c r="D10" i="3"/>
  <c r="E10" i="3"/>
  <c r="F10" i="3"/>
  <c r="C12" i="3"/>
  <c r="D12" i="3"/>
  <c r="E12" i="3"/>
  <c r="F12" i="3"/>
  <c r="C13" i="3"/>
  <c r="D13" i="3"/>
  <c r="E13" i="3"/>
  <c r="F13" i="3"/>
  <c r="C14" i="3"/>
  <c r="D14" i="3"/>
  <c r="E14" i="3"/>
  <c r="F14" i="3"/>
  <c r="C15" i="3"/>
  <c r="D15" i="3"/>
  <c r="E15" i="3"/>
  <c r="F15" i="3"/>
  <c r="C16" i="3"/>
  <c r="D16" i="3"/>
  <c r="E16" i="3"/>
  <c r="F16" i="3"/>
  <c r="C17" i="3"/>
  <c r="D17" i="3"/>
  <c r="E17" i="3"/>
  <c r="F17" i="3"/>
  <c r="C18" i="3"/>
  <c r="D18" i="3"/>
  <c r="E18" i="3"/>
  <c r="F18" i="3"/>
  <c r="C19" i="3"/>
  <c r="D19" i="3"/>
  <c r="E19" i="3"/>
  <c r="F19" i="3"/>
  <c r="C21" i="3"/>
  <c r="D21" i="3"/>
  <c r="E21" i="3"/>
  <c r="F21" i="3"/>
  <c r="C23" i="3"/>
  <c r="D23" i="3"/>
  <c r="E23" i="3"/>
  <c r="F23" i="3"/>
  <c r="C24" i="3"/>
  <c r="D24" i="3"/>
  <c r="E24" i="3"/>
  <c r="F24" i="3"/>
  <c r="C25" i="3"/>
  <c r="D25" i="3"/>
  <c r="E25" i="3"/>
  <c r="F25" i="3"/>
  <c r="C26" i="3"/>
  <c r="D26" i="3"/>
  <c r="E26" i="3"/>
  <c r="F26" i="3"/>
  <c r="C27" i="3"/>
  <c r="D27" i="3"/>
  <c r="E27" i="3"/>
  <c r="F27" i="3"/>
  <c r="C28" i="3"/>
  <c r="D28" i="3"/>
  <c r="E28" i="3"/>
  <c r="F28" i="3"/>
  <c r="C30" i="3"/>
  <c r="D30" i="3"/>
  <c r="E30" i="3"/>
  <c r="F30" i="3"/>
  <c r="C31" i="3"/>
  <c r="D31" i="3"/>
  <c r="E31" i="3"/>
  <c r="F31" i="3"/>
  <c r="C32" i="3"/>
  <c r="D32" i="3"/>
  <c r="E32" i="3"/>
  <c r="F32" i="3"/>
  <c r="C33" i="3"/>
  <c r="D33" i="3"/>
  <c r="E33" i="3"/>
  <c r="F33" i="3"/>
  <c r="C34" i="3"/>
  <c r="D34" i="3"/>
  <c r="E34" i="3"/>
  <c r="F34" i="3"/>
  <c r="C35" i="3"/>
  <c r="D35" i="3"/>
  <c r="E35" i="3"/>
  <c r="F35" i="3"/>
  <c r="C36" i="3"/>
  <c r="D36" i="3"/>
  <c r="E36" i="3"/>
  <c r="F36" i="3"/>
  <c r="C37" i="3"/>
  <c r="D37" i="3"/>
  <c r="E37" i="3"/>
  <c r="F37" i="3"/>
  <c r="F5" i="3"/>
  <c r="E5" i="3"/>
  <c r="D5" i="3"/>
  <c r="C5" i="3"/>
  <c r="G6" i="3" l="1"/>
  <c r="G9" i="3"/>
  <c r="G7" i="3"/>
  <c r="G11" i="3"/>
  <c r="G37" i="3"/>
  <c r="G5" i="3"/>
  <c r="G23" i="3"/>
  <c r="G19" i="3"/>
  <c r="G16" i="3"/>
  <c r="G12" i="3"/>
  <c r="G8" i="3"/>
  <c r="G35" i="3"/>
  <c r="G28" i="3"/>
  <c r="G27" i="3"/>
  <c r="G24" i="3"/>
  <c r="G18" i="3"/>
  <c r="G14" i="3"/>
  <c r="G13" i="3"/>
  <c r="G22" i="3"/>
  <c r="G29" i="3"/>
  <c r="G36" i="3"/>
  <c r="G30" i="3"/>
  <c r="G21" i="3"/>
  <c r="G10" i="3"/>
  <c r="G33" i="3"/>
  <c r="G17" i="3"/>
  <c r="G15" i="3"/>
  <c r="G34" i="3"/>
  <c r="G32" i="3"/>
  <c r="G31" i="3"/>
  <c r="G26" i="3"/>
  <c r="G25" i="3"/>
  <c r="G20" i="3"/>
  <c r="D38" i="3"/>
  <c r="C38" i="3"/>
  <c r="F38" i="3"/>
  <c r="E38" i="3"/>
  <c r="J12" i="3" l="1"/>
  <c r="N12" i="3"/>
  <c r="I4" i="8" s="1"/>
  <c r="I12" i="3"/>
  <c r="D4" i="8" s="1"/>
  <c r="K12" i="3"/>
  <c r="F4" i="8" s="1"/>
  <c r="L12" i="3"/>
  <c r="G4" i="8" s="1"/>
  <c r="M12" i="3"/>
  <c r="H4" i="8" s="1"/>
  <c r="G38" i="3"/>
  <c r="E4" i="4" l="1"/>
  <c r="E4" i="8"/>
  <c r="H4" i="4"/>
  <c r="I4" i="4"/>
  <c r="D4" i="4"/>
  <c r="G4" i="4"/>
  <c r="F4" i="4"/>
  <c r="O12" i="3"/>
  <c r="J4" i="8" s="1"/>
  <c r="J4" i="4" l="1"/>
</calcChain>
</file>

<file path=xl/sharedStrings.xml><?xml version="1.0" encoding="utf-8"?>
<sst xmlns="http://schemas.openxmlformats.org/spreadsheetml/2006/main" count="180" uniqueCount="120">
  <si>
    <t>a</t>
  </si>
  <si>
    <t>b</t>
  </si>
  <si>
    <t>c</t>
  </si>
  <si>
    <t>d</t>
  </si>
  <si>
    <t>1.  A veces evito hacer preguntas por miedo a ser  estúpido</t>
  </si>
  <si>
    <t>2. Me cuesta telefonear a tiendas , oficinas, etc. para preguntar algo</t>
  </si>
  <si>
    <t>3. Si al llegar a mi casa encuentro un defecto en algo que he  comprado, voy a la tienda a devolverlo.</t>
  </si>
  <si>
    <t>4. Cuando en una tienda atienden antes a alguien  que entro después que yo, me quedo callado.</t>
  </si>
  <si>
    <t>5. Si un vendedor insiste en enseñarme un producto que no deseo en absoluto , paso un mal rato para decirle que “NO”</t>
  </si>
  <si>
    <t>6. A veces me resulta difícil pedir que me devuelvan algo  que deje prestado.</t>
  </si>
  <si>
    <t>7. Si en un restauran no me traen la comida como le había pedido, llamo al camarero y pido que me hagan de nuevo.</t>
  </si>
  <si>
    <t>8. A veces no se que decir a personas atractivas al sexo  opuesto.</t>
  </si>
  <si>
    <t>9. Muchas  veces cuando tengo que hacer un halago no se  que  decir.</t>
  </si>
  <si>
    <t>10. Tiendo a guardar mis opiniones a mi mismo</t>
  </si>
  <si>
    <t>11.  A veces evito ciertas reuniones sociales por miedo a   hacer o decir alguna tontería.</t>
  </si>
  <si>
    <t>12. Si estoy en el cine y alguien me molesta con su conversación, me da mucho apuro pedirle que se calle.</t>
  </si>
  <si>
    <t>13. Cuando algún amigo expresa una opinión con la que estoy muy en desacuerdo  prefiero  callarme a manifestar abiertamente lo que yo pienso.</t>
  </si>
  <si>
    <t>14. Cuando tengo mucha prisa y me llama una amiga por teléfono, me cuesta mucho cortarla.</t>
  </si>
  <si>
    <t>15. Hay determinadas cosas que me disgusta prestar, pero si me las piden, no se como negarme.</t>
  </si>
  <si>
    <t>16. Si salgo de una tienda y me doy cuenta de que me han dado mal vuelto , regreso allí a pedir el cambio correcto</t>
  </si>
  <si>
    <t>17. No me resulta fácil  hacer un cumplido a alguien que me gusta.</t>
  </si>
  <si>
    <t>18. Si veo en una fiesta a una persona atractiva del seco opuesto, tomo la iniciativa y me acerco a entablar conversación con ella.</t>
  </si>
  <si>
    <t>19. Me cuesta expresar mis sentimientos a los demás</t>
  </si>
  <si>
    <t>20. Si tuviera que buscar trabajo, preferiría escribir cartas de presentación a tener que pasar por entrevistas  personales.</t>
  </si>
  <si>
    <t>21, Soy incapaz de regatear o pedir descuento al  comprar algo.</t>
  </si>
  <si>
    <t>22. Cuando un familiar cercano me molesta , prefiero ocultar mis sentimientos antes que expresar mi enfado.</t>
  </si>
  <si>
    <t>23. Nunca se como “cortar “ a un amigo que habla mucho</t>
  </si>
  <si>
    <t>24. cuando decido que no me apetece volver a salir con una personas, me cuesta mucho comunicarle mi decisión</t>
  </si>
  <si>
    <t>25. Si un amigo al que he prestado cierta cantidad de dinero parece haberlo olvidado, se lo recuerdo.</t>
  </si>
  <si>
    <t>26. Me suele costar mucho pedir a un amigo que me haga un favor.</t>
  </si>
  <si>
    <t>27. Soy incapaz de pedir a alguien una cita</t>
  </si>
  <si>
    <t>28. Me siento turbado o violento cuando alguien del sexo opuesto me dice que le gusta algo de mi físico</t>
  </si>
  <si>
    <t>29. Me cuesta expresar mi opinión  cuando estoy en grupo</t>
  </si>
  <si>
    <t>30. Cuando alguien se me” cuela” en una fila hago como si no me diera cuenta.</t>
  </si>
  <si>
    <t xml:space="preserve">31. Me cuesta mucho expresar mi ira , cólera,  o enfado hacia el otro sexo aunque tenga motivos justificados </t>
  </si>
  <si>
    <t>32. Muchas veces prefiero  callarme o “quitarme de en medio “para evitar problemas con otras personas.</t>
  </si>
  <si>
    <t>33. Hay veces que no se negarme con alguien que no me apetece pero que me llama varias veces.</t>
  </si>
  <si>
    <t>TOTAL</t>
  </si>
  <si>
    <t>I</t>
  </si>
  <si>
    <t>II</t>
  </si>
  <si>
    <t>III</t>
  </si>
  <si>
    <t>IV</t>
  </si>
  <si>
    <t>V</t>
  </si>
  <si>
    <t>VI</t>
  </si>
  <si>
    <t>T</t>
  </si>
  <si>
    <t>Pc</t>
  </si>
  <si>
    <t>En</t>
  </si>
  <si>
    <t>Área I</t>
  </si>
  <si>
    <t>Área II</t>
  </si>
  <si>
    <t>Área III</t>
  </si>
  <si>
    <t>Área IV</t>
  </si>
  <si>
    <t>Área V</t>
  </si>
  <si>
    <t>Área VI</t>
  </si>
  <si>
    <t>NIVEL</t>
  </si>
  <si>
    <t>31 – 32</t>
  </si>
  <si>
    <t>19 – 20</t>
  </si>
  <si>
    <t>127 – 133</t>
  </si>
  <si>
    <t>MUY ALTO</t>
  </si>
  <si>
    <t>124 – 126</t>
  </si>
  <si>
    <t>122 – 123</t>
  </si>
  <si>
    <t>ALTO</t>
  </si>
  <si>
    <t>118 – 120</t>
  </si>
  <si>
    <t>115 – 116</t>
  </si>
  <si>
    <t>108 – 110</t>
  </si>
  <si>
    <t>NORMAL ALTO</t>
  </si>
  <si>
    <t>96 – 97</t>
  </si>
  <si>
    <t>NORMAL</t>
  </si>
  <si>
    <t>87 – 88</t>
  </si>
  <si>
    <t>NORMAL BAJO</t>
  </si>
  <si>
    <t>BAJO</t>
  </si>
  <si>
    <t>75 – 76</t>
  </si>
  <si>
    <t>64 – 65</t>
  </si>
  <si>
    <t>62 – 63</t>
  </si>
  <si>
    <t>55 – 58</t>
  </si>
  <si>
    <t>MUY BAJO</t>
  </si>
  <si>
    <t>53 – 54</t>
  </si>
  <si>
    <t>7 – 8</t>
  </si>
  <si>
    <t>50 – 52</t>
  </si>
  <si>
    <t>47 – 49</t>
  </si>
  <si>
    <t>44 – 46</t>
  </si>
  <si>
    <t>6 – 7</t>
  </si>
  <si>
    <t>39 – 43</t>
  </si>
  <si>
    <t>2 – 5</t>
  </si>
  <si>
    <t>33 – 38</t>
  </si>
  <si>
    <t>BAREMO HOMBRES</t>
  </si>
  <si>
    <t xml:space="preserve">31 – 32  </t>
  </si>
  <si>
    <t xml:space="preserve">25 – 29 </t>
  </si>
  <si>
    <t xml:space="preserve">18 – 20 </t>
  </si>
  <si>
    <t xml:space="preserve">128 – 137 </t>
  </si>
  <si>
    <t xml:space="preserve">125 – 127 </t>
  </si>
  <si>
    <t xml:space="preserve">122 – 124 </t>
  </si>
  <si>
    <t xml:space="preserve">118 – 119 </t>
  </si>
  <si>
    <t xml:space="preserve">115 – 117 </t>
  </si>
  <si>
    <t xml:space="preserve">112 – 113 </t>
  </si>
  <si>
    <t xml:space="preserve">109 – 110 </t>
  </si>
  <si>
    <t xml:space="preserve">101 – 102 </t>
  </si>
  <si>
    <t xml:space="preserve">73 – 74 </t>
  </si>
  <si>
    <t xml:space="preserve">68 – 69 </t>
  </si>
  <si>
    <t xml:space="preserve">66 – 67 </t>
  </si>
  <si>
    <t xml:space="preserve">60 – 61 </t>
  </si>
  <si>
    <t xml:space="preserve">58 – 59 </t>
  </si>
  <si>
    <t xml:space="preserve"> </t>
  </si>
  <si>
    <t xml:space="preserve">52 – 56  </t>
  </si>
  <si>
    <t xml:space="preserve">50 – 51 </t>
  </si>
  <si>
    <t xml:space="preserve">8 – 9 </t>
  </si>
  <si>
    <t>43 – 49</t>
  </si>
  <si>
    <t xml:space="preserve">39 – 42 </t>
  </si>
  <si>
    <t>CUESTIONARIO DE HABILIDADES SOCIALES</t>
  </si>
  <si>
    <t>NOMBRE</t>
  </si>
  <si>
    <t>EXAMINADOR</t>
  </si>
  <si>
    <t>Isaias HURTADO SANTA CRUZ</t>
  </si>
  <si>
    <t>PREGUNTAS</t>
  </si>
  <si>
    <t>A =  No me identifico , en la mayoría de las veces no me ocurre o no lo haría.</t>
  </si>
  <si>
    <t>B =  No tiene que ver conmigo, aunque alguna vez me ocurra</t>
  </si>
  <si>
    <t>C = Me describe aproximadamente, aunque no siempre actúe así o me sienta así</t>
  </si>
  <si>
    <t>D = Muy de acuerdo, me sentiría así o actuaría así en la mayoría de los casos</t>
  </si>
  <si>
    <t>RESULTADO DE</t>
  </si>
  <si>
    <t>BAREMO MUJERES</t>
  </si>
  <si>
    <t>PT</t>
  </si>
  <si>
    <t>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</si>
</sst>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0" borderId="0" xfId="0" applyAlignment="1"/>
    <xf numFmtId="0" fontId="2" fillId="0" borderId="0" xfId="0" applyFont="1"/>
    <xf numFmtId="0" fontId="2" fillId="0" borderId="0" xfId="0" applyFont="1" applyAlignment="1">
      <alignment horizontal="center"/>
    </xf>
    <xf numFmtId="0" fontId="2" fillId="3" borderId="3" xfId="0" applyFont="1" applyFill="1" applyBorder="1" applyAlignment="1"/>
    <xf numFmtId="0" fontId="0" fillId="4" borderId="3" xfId="0" applyFill="1" applyBorder="1"/>
    <xf numFmtId="0" fontId="2" fillId="7" borderId="0" xfId="0" applyFont="1" applyFill="1" applyBorder="1"/>
    <xf numFmtId="0" fontId="0" fillId="7" borderId="0" xfId="0" applyFill="1" applyBorder="1" applyAlignment="1">
      <alignment horizontal="center"/>
    </xf>
    <xf numFmtId="0" fontId="2" fillId="3" borderId="12" xfId="0" applyFont="1" applyFill="1" applyBorder="1"/>
    <xf numFmtId="0" fontId="5" fillId="2" borderId="9" xfId="0" applyFont="1" applyFill="1" applyBorder="1" applyAlignment="1">
      <alignment horizontal="center"/>
    </xf>
    <xf numFmtId="0" fontId="1" fillId="4" borderId="10" xfId="0" applyFont="1" applyFill="1" applyBorder="1"/>
    <xf numFmtId="0" fontId="1" fillId="4" borderId="11" xfId="0" applyFont="1" applyFill="1" applyBorder="1"/>
    <xf numFmtId="0" fontId="2" fillId="2" borderId="12" xfId="0" applyFont="1" applyFill="1" applyBorder="1" applyAlignment="1"/>
    <xf numFmtId="0" fontId="0" fillId="4" borderId="13" xfId="0" applyFill="1" applyBorder="1"/>
    <xf numFmtId="0" fontId="2" fillId="2" borderId="14" xfId="0" applyFont="1" applyFill="1" applyBorder="1" applyAlignment="1"/>
    <xf numFmtId="0" fontId="0" fillId="4" borderId="15" xfId="0" applyFill="1" applyBorder="1"/>
    <xf numFmtId="0" fontId="0" fillId="4" borderId="16" xfId="0" applyFill="1" applyBorder="1"/>
    <xf numFmtId="0" fontId="0" fillId="3" borderId="3" xfId="0" applyFill="1" applyBorder="1" applyAlignment="1">
      <alignment horizontal="center" vertical="center"/>
    </xf>
    <xf numFmtId="0" fontId="0" fillId="6" borderId="3" xfId="0" applyFill="1" applyBorder="1" applyAlignment="1"/>
    <xf numFmtId="0" fontId="2" fillId="3" borderId="14" xfId="0" applyFont="1" applyFill="1" applyBorder="1" applyProtection="1">
      <protection locked="0"/>
    </xf>
    <xf numFmtId="0" fontId="6" fillId="3" borderId="3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1" borderId="4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/>
    </xf>
    <xf numFmtId="0" fontId="7" fillId="11" borderId="3" xfId="0" applyFont="1" applyFill="1" applyBorder="1" applyAlignment="1">
      <alignment horizontal="center"/>
    </xf>
    <xf numFmtId="0" fontId="7" fillId="3" borderId="23" xfId="0" applyFont="1" applyFill="1" applyBorder="1" applyAlignment="1">
      <alignment horizontal="center"/>
    </xf>
    <xf numFmtId="0" fontId="0" fillId="11" borderId="3" xfId="0" applyFill="1" applyBorder="1"/>
    <xf numFmtId="0" fontId="0" fillId="8" borderId="3" xfId="0" applyFill="1" applyBorder="1"/>
    <xf numFmtId="0" fontId="3" fillId="7" borderId="1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0" fillId="9" borderId="3" xfId="0" applyFill="1" applyBorder="1"/>
    <xf numFmtId="0" fontId="2" fillId="11" borderId="3" xfId="0" applyFont="1" applyFill="1" applyBorder="1" applyAlignment="1"/>
    <xf numFmtId="0" fontId="0" fillId="10" borderId="3" xfId="0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0" fillId="10" borderId="0" xfId="0" applyFill="1"/>
    <xf numFmtId="0" fontId="0" fillId="10" borderId="9" xfId="0" applyFont="1" applyFill="1" applyBorder="1" applyAlignment="1">
      <alignment horizontal="center"/>
    </xf>
    <xf numFmtId="0" fontId="0" fillId="10" borderId="14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left"/>
    </xf>
    <xf numFmtId="0" fontId="2" fillId="5" borderId="15" xfId="0" applyFont="1" applyFill="1" applyBorder="1" applyAlignment="1">
      <alignment horizontal="left"/>
    </xf>
    <xf numFmtId="0" fontId="2" fillId="5" borderId="16" xfId="0" applyFont="1" applyFill="1" applyBorder="1" applyAlignment="1">
      <alignment horizontal="left"/>
    </xf>
    <xf numFmtId="0" fontId="2" fillId="5" borderId="12" xfId="0" applyFont="1" applyFill="1" applyBorder="1" applyAlignment="1">
      <alignment horizontal="left"/>
    </xf>
    <xf numFmtId="0" fontId="2" fillId="5" borderId="3" xfId="0" applyFont="1" applyFill="1" applyBorder="1" applyAlignment="1">
      <alignment horizontal="left"/>
    </xf>
    <xf numFmtId="0" fontId="2" fillId="5" borderId="13" xfId="0" applyFont="1" applyFill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4" fillId="3" borderId="9" xfId="0" applyFont="1" applyFill="1" applyBorder="1" applyAlignment="1" applyProtection="1">
      <alignment horizontal="center"/>
      <protection locked="0"/>
    </xf>
    <xf numFmtId="0" fontId="2" fillId="3" borderId="10" xfId="0" applyFont="1" applyFill="1" applyBorder="1" applyAlignment="1" applyProtection="1">
      <alignment horizontal="center"/>
      <protection locked="0"/>
    </xf>
    <xf numFmtId="0" fontId="2" fillId="3" borderId="11" xfId="0" applyFont="1" applyFill="1" applyBorder="1" applyAlignment="1" applyProtection="1">
      <alignment horizontal="center"/>
      <protection locked="0"/>
    </xf>
    <xf numFmtId="0" fontId="0" fillId="3" borderId="3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5" xfId="0" applyFill="1" applyBorder="1" applyAlignment="1" applyProtection="1">
      <alignment horizontal="center"/>
    </xf>
    <xf numFmtId="0" fontId="0" fillId="3" borderId="16" xfId="0" applyFill="1" applyBorder="1" applyAlignment="1" applyProtection="1">
      <alignment horizontal="center"/>
    </xf>
    <xf numFmtId="0" fontId="2" fillId="5" borderId="9" xfId="0" applyFont="1" applyFill="1" applyBorder="1" applyAlignment="1">
      <alignment horizontal="left"/>
    </xf>
    <xf numFmtId="0" fontId="2" fillId="5" borderId="10" xfId="0" applyFont="1" applyFill="1" applyBorder="1" applyAlignment="1">
      <alignment horizontal="left"/>
    </xf>
    <xf numFmtId="0" fontId="2" fillId="5" borderId="11" xfId="0" applyFont="1" applyFill="1" applyBorder="1" applyAlignment="1">
      <alignment horizontal="left"/>
    </xf>
    <xf numFmtId="0" fontId="0" fillId="10" borderId="20" xfId="0" applyFont="1" applyFill="1" applyBorder="1" applyAlignment="1">
      <alignment horizontal="center"/>
    </xf>
    <xf numFmtId="0" fontId="0" fillId="10" borderId="21" xfId="0" applyFont="1" applyFill="1" applyBorder="1" applyAlignment="1">
      <alignment horizontal="center"/>
    </xf>
    <xf numFmtId="0" fontId="0" fillId="10" borderId="22" xfId="0" applyFont="1" applyFill="1" applyBorder="1" applyAlignment="1">
      <alignment horizontal="center"/>
    </xf>
    <xf numFmtId="0" fontId="0" fillId="10" borderId="15" xfId="0" applyFont="1" applyFill="1" applyBorder="1" applyAlignment="1">
      <alignment horizontal="center"/>
    </xf>
    <xf numFmtId="0" fontId="0" fillId="10" borderId="16" xfId="0" applyFont="1" applyFill="1" applyBorder="1" applyAlignment="1">
      <alignment horizontal="center"/>
    </xf>
    <xf numFmtId="0" fontId="3" fillId="7" borderId="7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0" fillId="6" borderId="3" xfId="0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7" xfId="0" applyFont="1" applyFill="1" applyBorder="1" applyAlignment="1">
      <alignment horizontal="center" vertical="center"/>
    </xf>
    <xf numFmtId="0" fontId="3" fillId="10" borderId="8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11" borderId="7" xfId="0" applyFont="1" applyFill="1" applyBorder="1" applyAlignment="1">
      <alignment horizontal="center" vertical="center"/>
    </xf>
    <xf numFmtId="0" fontId="3" fillId="11" borderId="8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HOMBRES!$C$3</c:f>
              <c:strCache>
                <c:ptCount val="1"/>
                <c:pt idx="0">
                  <c:v>PT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HOMBRES!$D$2:$J$2</c:f>
              <c:strCache>
                <c:ptCount val="7"/>
                <c:pt idx="0">
                  <c:v>I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V</c:v>
                </c:pt>
                <c:pt idx="5">
                  <c:v>VI</c:v>
                </c:pt>
                <c:pt idx="6">
                  <c:v>TOTAL</c:v>
                </c:pt>
              </c:strCache>
            </c:strRef>
          </c:cat>
          <c:val>
            <c:numRef>
              <c:f>HOMBRES!$D$3:$J$3</c:f>
              <c:numCache>
                <c:formatCode>General</c:formatCode>
                <c:ptCount val="7"/>
                <c:pt idx="0">
                  <c:v>32</c:v>
                </c:pt>
                <c:pt idx="1">
                  <c:v>20</c:v>
                </c:pt>
                <c:pt idx="2">
                  <c:v>16</c:v>
                </c:pt>
                <c:pt idx="3">
                  <c:v>24</c:v>
                </c:pt>
                <c:pt idx="4">
                  <c:v>20</c:v>
                </c:pt>
                <c:pt idx="5">
                  <c:v>20</c:v>
                </c:pt>
                <c:pt idx="6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42-4257-81B5-3C71AABB66EF}"/>
            </c:ext>
          </c:extLst>
        </c:ser>
        <c:ser>
          <c:idx val="1"/>
          <c:order val="1"/>
          <c:tx>
            <c:strRef>
              <c:f>HOMBRES!$C$4</c:f>
              <c:strCache>
                <c:ptCount val="1"/>
                <c:pt idx="0">
                  <c:v>PO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HOMBRES!$D$2:$J$2</c:f>
              <c:strCache>
                <c:ptCount val="7"/>
                <c:pt idx="0">
                  <c:v>I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V</c:v>
                </c:pt>
                <c:pt idx="5">
                  <c:v>VI</c:v>
                </c:pt>
                <c:pt idx="6">
                  <c:v>TOTAL</c:v>
                </c:pt>
              </c:strCache>
            </c:strRef>
          </c:cat>
          <c:val>
            <c:numRef>
              <c:f>HOMBRES!$D$4:$J$4</c:f>
              <c:numCache>
                <c:formatCode>General</c:formatCode>
                <c:ptCount val="7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42-4257-81B5-3C71AABB66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93098832"/>
        <c:axId val="1593096752"/>
        <c:axId val="0"/>
      </c:bar3DChart>
      <c:catAx>
        <c:axId val="159309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593096752"/>
        <c:crosses val="autoZero"/>
        <c:auto val="1"/>
        <c:lblAlgn val="ctr"/>
        <c:lblOffset val="100"/>
        <c:noMultiLvlLbl val="0"/>
      </c:catAx>
      <c:valAx>
        <c:axId val="159309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593098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RESULTADOS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MUJERES!$C$3</c:f>
              <c:strCache>
                <c:ptCount val="1"/>
                <c:pt idx="0">
                  <c:v>PT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MUJERES!$D$2:$J$2</c:f>
              <c:strCache>
                <c:ptCount val="7"/>
                <c:pt idx="0">
                  <c:v>I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V</c:v>
                </c:pt>
                <c:pt idx="5">
                  <c:v>VI</c:v>
                </c:pt>
                <c:pt idx="6">
                  <c:v>TOTAL</c:v>
                </c:pt>
              </c:strCache>
            </c:strRef>
          </c:cat>
          <c:val>
            <c:numRef>
              <c:f>MUJERES!$D$3:$J$3</c:f>
              <c:numCache>
                <c:formatCode>General</c:formatCode>
                <c:ptCount val="7"/>
                <c:pt idx="0">
                  <c:v>32</c:v>
                </c:pt>
                <c:pt idx="1">
                  <c:v>20</c:v>
                </c:pt>
                <c:pt idx="2">
                  <c:v>16</c:v>
                </c:pt>
                <c:pt idx="3">
                  <c:v>24</c:v>
                </c:pt>
                <c:pt idx="4">
                  <c:v>20</c:v>
                </c:pt>
                <c:pt idx="5">
                  <c:v>20</c:v>
                </c:pt>
                <c:pt idx="6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50-4296-9F4A-DA9D183C4CAF}"/>
            </c:ext>
          </c:extLst>
        </c:ser>
        <c:ser>
          <c:idx val="1"/>
          <c:order val="1"/>
          <c:tx>
            <c:strRef>
              <c:f>MUJERES!$C$4</c:f>
              <c:strCache>
                <c:ptCount val="1"/>
                <c:pt idx="0">
                  <c:v>PO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MUJERES!$D$2:$J$2</c:f>
              <c:strCache>
                <c:ptCount val="7"/>
                <c:pt idx="0">
                  <c:v>I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V</c:v>
                </c:pt>
                <c:pt idx="5">
                  <c:v>VI</c:v>
                </c:pt>
                <c:pt idx="6">
                  <c:v>TOTAL</c:v>
                </c:pt>
              </c:strCache>
            </c:strRef>
          </c:cat>
          <c:val>
            <c:numRef>
              <c:f>MUJERES!$D$4:$J$4</c:f>
              <c:numCache>
                <c:formatCode>General</c:formatCode>
                <c:ptCount val="7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50-4296-9F4A-DA9D183C4C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87557904"/>
        <c:axId val="1687570800"/>
        <c:axId val="0"/>
      </c:bar3DChart>
      <c:catAx>
        <c:axId val="1687557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687570800"/>
        <c:crosses val="autoZero"/>
        <c:auto val="1"/>
        <c:lblAlgn val="ctr"/>
        <c:lblOffset val="100"/>
        <c:noMultiLvlLbl val="0"/>
      </c:catAx>
      <c:valAx>
        <c:axId val="168757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687557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104775</xdr:colOff>
      <xdr:row>4</xdr:row>
      <xdr:rowOff>180974</xdr:rowOff>
    </xdr:from>
    <xdr:to>
      <xdr:col>30</xdr:col>
      <xdr:colOff>0</xdr:colOff>
      <xdr:row>19</xdr:row>
      <xdr:rowOff>9524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9526</xdr:colOff>
      <xdr:row>4</xdr:row>
      <xdr:rowOff>180975</xdr:rowOff>
    </xdr:from>
    <xdr:to>
      <xdr:col>29</xdr:col>
      <xdr:colOff>114299</xdr:colOff>
      <xdr:row>19</xdr:row>
      <xdr:rowOff>19050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7"/>
  <sheetViews>
    <sheetView workbookViewId="0">
      <selection activeCell="C12" sqref="C12"/>
    </sheetView>
  </sheetViews>
  <sheetFormatPr baseColWidth="10" defaultColWidth="1.7109375" defaultRowHeight="15" x14ac:dyDescent="0.25"/>
  <cols>
    <col min="1" max="1" width="2.140625" customWidth="1"/>
    <col min="2" max="2" width="116" style="2" customWidth="1"/>
    <col min="3" max="6" width="3.7109375" customWidth="1"/>
    <col min="8" max="8" width="2" customWidth="1"/>
  </cols>
  <sheetData>
    <row r="1" spans="1:8" ht="15.75" thickBot="1" x14ac:dyDescent="0.3">
      <c r="B1" s="3"/>
    </row>
    <row r="2" spans="1:8" ht="15.75" x14ac:dyDescent="0.25">
      <c r="B2" s="56" t="s">
        <v>107</v>
      </c>
      <c r="C2" s="57"/>
      <c r="D2" s="57"/>
      <c r="E2" s="57"/>
      <c r="F2" s="58"/>
    </row>
    <row r="3" spans="1:8" x14ac:dyDescent="0.25">
      <c r="B3" s="8" t="s">
        <v>110</v>
      </c>
      <c r="C3" s="59" t="s">
        <v>108</v>
      </c>
      <c r="D3" s="59"/>
      <c r="E3" s="59"/>
      <c r="F3" s="60"/>
    </row>
    <row r="4" spans="1:8" ht="15.75" thickBot="1" x14ac:dyDescent="0.3">
      <c r="B4" s="19" t="s">
        <v>110</v>
      </c>
      <c r="C4" s="61" t="s">
        <v>109</v>
      </c>
      <c r="D4" s="61"/>
      <c r="E4" s="61"/>
      <c r="F4" s="62"/>
    </row>
    <row r="5" spans="1:8" ht="15.75" thickBot="1" x14ac:dyDescent="0.3">
      <c r="B5" s="6"/>
      <c r="C5" s="7"/>
      <c r="D5" s="7"/>
      <c r="E5" s="7"/>
      <c r="F5" s="7"/>
    </row>
    <row r="6" spans="1:8" x14ac:dyDescent="0.25">
      <c r="B6" s="63" t="s">
        <v>112</v>
      </c>
      <c r="C6" s="64"/>
      <c r="D6" s="64"/>
      <c r="E6" s="64"/>
      <c r="F6" s="65"/>
    </row>
    <row r="7" spans="1:8" x14ac:dyDescent="0.25">
      <c r="B7" s="52" t="s">
        <v>113</v>
      </c>
      <c r="C7" s="53"/>
      <c r="D7" s="53"/>
      <c r="E7" s="53"/>
      <c r="F7" s="54"/>
    </row>
    <row r="8" spans="1:8" x14ac:dyDescent="0.25">
      <c r="B8" s="52" t="s">
        <v>114</v>
      </c>
      <c r="C8" s="53"/>
      <c r="D8" s="53"/>
      <c r="E8" s="53"/>
      <c r="F8" s="54"/>
    </row>
    <row r="9" spans="1:8" ht="15.75" thickBot="1" x14ac:dyDescent="0.3">
      <c r="B9" s="49" t="s">
        <v>115</v>
      </c>
      <c r="C9" s="50"/>
      <c r="D9" s="50"/>
      <c r="E9" s="50"/>
      <c r="F9" s="51"/>
    </row>
    <row r="10" spans="1:8" ht="15.75" thickBot="1" x14ac:dyDescent="0.3">
      <c r="B10" s="55"/>
      <c r="C10" s="55"/>
      <c r="D10" s="55"/>
      <c r="E10" s="55"/>
      <c r="F10" s="55"/>
    </row>
    <row r="11" spans="1:8" x14ac:dyDescent="0.25">
      <c r="A11" s="1"/>
      <c r="B11" s="9" t="s">
        <v>111</v>
      </c>
      <c r="C11" s="10" t="s">
        <v>0</v>
      </c>
      <c r="D11" s="10" t="s">
        <v>1</v>
      </c>
      <c r="E11" s="10" t="s">
        <v>2</v>
      </c>
      <c r="F11" s="11" t="s">
        <v>3</v>
      </c>
    </row>
    <row r="12" spans="1:8" x14ac:dyDescent="0.25">
      <c r="A12" s="1"/>
      <c r="B12" s="12" t="s">
        <v>4</v>
      </c>
      <c r="C12" s="5">
        <v>1</v>
      </c>
      <c r="D12" s="5"/>
      <c r="E12" s="5"/>
      <c r="F12" s="13"/>
    </row>
    <row r="13" spans="1:8" x14ac:dyDescent="0.25">
      <c r="A13" s="1"/>
      <c r="B13" s="12" t="s">
        <v>5</v>
      </c>
      <c r="C13" s="5"/>
      <c r="D13" s="5"/>
      <c r="E13" s="5"/>
      <c r="F13" s="13"/>
    </row>
    <row r="14" spans="1:8" x14ac:dyDescent="0.25">
      <c r="A14" s="1"/>
      <c r="B14" s="12" t="s">
        <v>6</v>
      </c>
      <c r="C14" s="5"/>
      <c r="D14" s="5"/>
      <c r="E14" s="5"/>
      <c r="F14" s="13"/>
    </row>
    <row r="15" spans="1:8" x14ac:dyDescent="0.25">
      <c r="A15" s="1"/>
      <c r="B15" s="12" t="s">
        <v>7</v>
      </c>
      <c r="C15" s="5"/>
      <c r="D15" s="5"/>
      <c r="E15" s="5"/>
      <c r="F15" s="13"/>
      <c r="H15" s="2"/>
    </row>
    <row r="16" spans="1:8" x14ac:dyDescent="0.25">
      <c r="A16" s="1"/>
      <c r="B16" s="12" t="s">
        <v>8</v>
      </c>
      <c r="C16" s="5"/>
      <c r="D16" s="5"/>
      <c r="E16" s="5"/>
      <c r="F16" s="13"/>
      <c r="H16" s="2"/>
    </row>
    <row r="17" spans="1:8" x14ac:dyDescent="0.25">
      <c r="A17" s="1"/>
      <c r="B17" s="12" t="s">
        <v>9</v>
      </c>
      <c r="C17" s="5"/>
      <c r="D17" s="5"/>
      <c r="E17" s="5"/>
      <c r="F17" s="13"/>
      <c r="H17" s="2"/>
    </row>
    <row r="18" spans="1:8" x14ac:dyDescent="0.25">
      <c r="A18" s="1"/>
      <c r="B18" s="12" t="s">
        <v>10</v>
      </c>
      <c r="C18" s="5"/>
      <c r="D18" s="5"/>
      <c r="E18" s="5"/>
      <c r="F18" s="13"/>
      <c r="H18" s="2"/>
    </row>
    <row r="19" spans="1:8" x14ac:dyDescent="0.25">
      <c r="A19" s="1"/>
      <c r="B19" s="12" t="s">
        <v>11</v>
      </c>
      <c r="C19" s="5"/>
      <c r="D19" s="5"/>
      <c r="E19" s="5"/>
      <c r="F19" s="13"/>
    </row>
    <row r="20" spans="1:8" x14ac:dyDescent="0.25">
      <c r="A20" s="1"/>
      <c r="B20" s="12" t="s">
        <v>12</v>
      </c>
      <c r="C20" s="5"/>
      <c r="D20" s="5"/>
      <c r="E20" s="5"/>
      <c r="F20" s="13"/>
    </row>
    <row r="21" spans="1:8" x14ac:dyDescent="0.25">
      <c r="A21" s="1"/>
      <c r="B21" s="12" t="s">
        <v>13</v>
      </c>
      <c r="C21" s="5"/>
      <c r="D21" s="5"/>
      <c r="E21" s="5"/>
      <c r="F21" s="13"/>
    </row>
    <row r="22" spans="1:8" x14ac:dyDescent="0.25">
      <c r="A22" s="1"/>
      <c r="B22" s="12" t="s">
        <v>14</v>
      </c>
      <c r="C22" s="5"/>
      <c r="D22" s="5"/>
      <c r="E22" s="5"/>
      <c r="F22" s="13"/>
    </row>
    <row r="23" spans="1:8" x14ac:dyDescent="0.25">
      <c r="A23" s="1"/>
      <c r="B23" s="12" t="s">
        <v>15</v>
      </c>
      <c r="C23" s="5"/>
      <c r="D23" s="5"/>
      <c r="E23" s="5"/>
      <c r="F23" s="13"/>
    </row>
    <row r="24" spans="1:8" x14ac:dyDescent="0.25">
      <c r="A24" s="1"/>
      <c r="B24" s="12" t="s">
        <v>16</v>
      </c>
      <c r="C24" s="5"/>
      <c r="D24" s="5"/>
      <c r="E24" s="5"/>
      <c r="F24" s="13"/>
    </row>
    <row r="25" spans="1:8" x14ac:dyDescent="0.25">
      <c r="A25" s="1"/>
      <c r="B25" s="12" t="s">
        <v>17</v>
      </c>
      <c r="C25" s="5"/>
      <c r="D25" s="5"/>
      <c r="E25" s="5"/>
      <c r="F25" s="13"/>
    </row>
    <row r="26" spans="1:8" x14ac:dyDescent="0.25">
      <c r="A26" s="1"/>
      <c r="B26" s="12" t="s">
        <v>18</v>
      </c>
      <c r="C26" s="5"/>
      <c r="D26" s="5"/>
      <c r="E26" s="5"/>
      <c r="F26" s="13"/>
    </row>
    <row r="27" spans="1:8" x14ac:dyDescent="0.25">
      <c r="A27" s="1"/>
      <c r="B27" s="12" t="s">
        <v>19</v>
      </c>
      <c r="C27" s="5"/>
      <c r="D27" s="5"/>
      <c r="E27" s="5"/>
      <c r="F27" s="13"/>
    </row>
    <row r="28" spans="1:8" x14ac:dyDescent="0.25">
      <c r="A28" s="1"/>
      <c r="B28" s="12" t="s">
        <v>20</v>
      </c>
      <c r="C28" s="5"/>
      <c r="D28" s="5"/>
      <c r="E28" s="5"/>
      <c r="F28" s="13"/>
    </row>
    <row r="29" spans="1:8" x14ac:dyDescent="0.25">
      <c r="A29" s="1"/>
      <c r="B29" s="12" t="s">
        <v>21</v>
      </c>
      <c r="C29" s="5"/>
      <c r="D29" s="5"/>
      <c r="E29" s="5"/>
      <c r="F29" s="13"/>
    </row>
    <row r="30" spans="1:8" x14ac:dyDescent="0.25">
      <c r="A30" s="1"/>
      <c r="B30" s="12" t="s">
        <v>22</v>
      </c>
      <c r="C30" s="5"/>
      <c r="D30" s="5"/>
      <c r="E30" s="5"/>
      <c r="F30" s="13"/>
    </row>
    <row r="31" spans="1:8" x14ac:dyDescent="0.25">
      <c r="A31" s="1"/>
      <c r="B31" s="12" t="s">
        <v>23</v>
      </c>
      <c r="C31" s="5"/>
      <c r="D31" s="5"/>
      <c r="E31" s="5"/>
      <c r="F31" s="13"/>
    </row>
    <row r="32" spans="1:8" x14ac:dyDescent="0.25">
      <c r="A32" s="1"/>
      <c r="B32" s="12" t="s">
        <v>24</v>
      </c>
      <c r="C32" s="5"/>
      <c r="D32" s="5"/>
      <c r="E32" s="5"/>
      <c r="F32" s="13"/>
    </row>
    <row r="33" spans="1:6" x14ac:dyDescent="0.25">
      <c r="A33" s="1"/>
      <c r="B33" s="12" t="s">
        <v>25</v>
      </c>
      <c r="C33" s="5"/>
      <c r="D33" s="5"/>
      <c r="E33" s="5"/>
      <c r="F33" s="13"/>
    </row>
    <row r="34" spans="1:6" x14ac:dyDescent="0.25">
      <c r="A34" s="1"/>
      <c r="B34" s="12" t="s">
        <v>26</v>
      </c>
      <c r="C34" s="5"/>
      <c r="D34" s="5"/>
      <c r="E34" s="5"/>
      <c r="F34" s="13"/>
    </row>
    <row r="35" spans="1:6" x14ac:dyDescent="0.25">
      <c r="A35" s="1"/>
      <c r="B35" s="12" t="s">
        <v>27</v>
      </c>
      <c r="C35" s="5"/>
      <c r="D35" s="5"/>
      <c r="E35" s="5"/>
      <c r="F35" s="13"/>
    </row>
    <row r="36" spans="1:6" x14ac:dyDescent="0.25">
      <c r="A36" s="1"/>
      <c r="B36" s="12" t="s">
        <v>28</v>
      </c>
      <c r="C36" s="5"/>
      <c r="D36" s="5"/>
      <c r="E36" s="5"/>
      <c r="F36" s="13"/>
    </row>
    <row r="37" spans="1:6" x14ac:dyDescent="0.25">
      <c r="A37" s="1"/>
      <c r="B37" s="12" t="s">
        <v>29</v>
      </c>
      <c r="C37" s="5"/>
      <c r="D37" s="5"/>
      <c r="E37" s="5"/>
      <c r="F37" s="13"/>
    </row>
    <row r="38" spans="1:6" x14ac:dyDescent="0.25">
      <c r="A38" s="1"/>
      <c r="B38" s="12" t="s">
        <v>30</v>
      </c>
      <c r="C38" s="5"/>
      <c r="D38" s="5"/>
      <c r="E38" s="5"/>
      <c r="F38" s="13"/>
    </row>
    <row r="39" spans="1:6" x14ac:dyDescent="0.25">
      <c r="A39" s="1"/>
      <c r="B39" s="12" t="s">
        <v>31</v>
      </c>
      <c r="C39" s="5"/>
      <c r="D39" s="5"/>
      <c r="E39" s="5"/>
      <c r="F39" s="13"/>
    </row>
    <row r="40" spans="1:6" x14ac:dyDescent="0.25">
      <c r="A40" s="1"/>
      <c r="B40" s="12" t="s">
        <v>32</v>
      </c>
      <c r="C40" s="5"/>
      <c r="D40" s="5"/>
      <c r="E40" s="5"/>
      <c r="F40" s="13"/>
    </row>
    <row r="41" spans="1:6" x14ac:dyDescent="0.25">
      <c r="A41" s="1"/>
      <c r="B41" s="12" t="s">
        <v>33</v>
      </c>
      <c r="C41" s="5"/>
      <c r="D41" s="5"/>
      <c r="E41" s="5"/>
      <c r="F41" s="13"/>
    </row>
    <row r="42" spans="1:6" x14ac:dyDescent="0.25">
      <c r="A42" s="1"/>
      <c r="B42" s="12" t="s">
        <v>34</v>
      </c>
      <c r="C42" s="5"/>
      <c r="D42" s="5"/>
      <c r="E42" s="5"/>
      <c r="F42" s="13"/>
    </row>
    <row r="43" spans="1:6" x14ac:dyDescent="0.25">
      <c r="A43" s="1"/>
      <c r="B43" s="12" t="s">
        <v>35</v>
      </c>
      <c r="C43" s="5"/>
      <c r="D43" s="5"/>
      <c r="E43" s="5"/>
      <c r="F43" s="13"/>
    </row>
    <row r="44" spans="1:6" ht="15.75" thickBot="1" x14ac:dyDescent="0.3">
      <c r="A44" s="1"/>
      <c r="B44" s="14" t="s">
        <v>36</v>
      </c>
      <c r="C44" s="15"/>
      <c r="D44" s="15"/>
      <c r="E44" s="15"/>
      <c r="F44" s="16"/>
    </row>
    <row r="45" spans="1:6" x14ac:dyDescent="0.25">
      <c r="A45" s="1"/>
      <c r="B45" s="1"/>
    </row>
    <row r="46" spans="1:6" x14ac:dyDescent="0.25">
      <c r="A46" s="1"/>
      <c r="B46" s="1"/>
    </row>
    <row r="47" spans="1:6" x14ac:dyDescent="0.25">
      <c r="A47" s="1"/>
      <c r="B47" s="1"/>
    </row>
  </sheetData>
  <mergeCells count="8">
    <mergeCell ref="B9:F9"/>
    <mergeCell ref="B8:F8"/>
    <mergeCell ref="B10:F10"/>
    <mergeCell ref="B2:F2"/>
    <mergeCell ref="C3:F3"/>
    <mergeCell ref="C4:F4"/>
    <mergeCell ref="B6:F6"/>
    <mergeCell ref="B7:F7"/>
  </mergeCells>
  <pageMargins left="0.7" right="0.7" top="0.75" bottom="0.75" header="0.3" footer="0.3"/>
  <pageSetup paperSize="256" scale="68" fitToHeight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0"/>
  <sheetViews>
    <sheetView zoomScale="90" zoomScaleNormal="90" workbookViewId="0">
      <selection activeCell="C5" sqref="C5"/>
    </sheetView>
  </sheetViews>
  <sheetFormatPr baseColWidth="10" defaultColWidth="1.7109375" defaultRowHeight="15" x14ac:dyDescent="0.25"/>
  <cols>
    <col min="1" max="1" width="2.140625" customWidth="1"/>
    <col min="2" max="2" width="116" style="2" customWidth="1"/>
    <col min="3" max="6" width="3.7109375" customWidth="1"/>
    <col min="7" max="7" width="4.7109375" customWidth="1"/>
    <col min="8" max="8" width="1.5703125" customWidth="1"/>
    <col min="9" max="14" width="4.7109375" customWidth="1"/>
    <col min="15" max="15" width="6.85546875" customWidth="1"/>
  </cols>
  <sheetData>
    <row r="1" spans="1:15" x14ac:dyDescent="0.25">
      <c r="A1" s="46"/>
      <c r="B1" s="47" t="str">
        <f>CUESTIONARIO!B3</f>
        <v>Isaias HURTADO SANTA CRUZ</v>
      </c>
      <c r="C1" s="66" t="str">
        <f>CUESTIONARIO!C3</f>
        <v>NOMBRE</v>
      </c>
      <c r="D1" s="67"/>
      <c r="E1" s="67"/>
      <c r="F1" s="67"/>
      <c r="G1" s="68"/>
    </row>
    <row r="2" spans="1:15" ht="15.75" thickBot="1" x14ac:dyDescent="0.3">
      <c r="A2" s="46"/>
      <c r="B2" s="48" t="str">
        <f>CUESTIONARIO!B4</f>
        <v>Isaias HURTADO SANTA CRUZ</v>
      </c>
      <c r="C2" s="69" t="str">
        <f>CUESTIONARIO!C4</f>
        <v>EXAMINADOR</v>
      </c>
      <c r="D2" s="69"/>
      <c r="E2" s="69"/>
      <c r="F2" s="69"/>
      <c r="G2" s="70"/>
    </row>
    <row r="4" spans="1:15" x14ac:dyDescent="0.25">
      <c r="A4" s="1"/>
      <c r="B4" s="4"/>
      <c r="C4" s="42" t="s">
        <v>0</v>
      </c>
      <c r="D4" s="42" t="s">
        <v>1</v>
      </c>
      <c r="E4" s="42" t="s">
        <v>2</v>
      </c>
      <c r="F4" s="42" t="s">
        <v>3</v>
      </c>
      <c r="G4" s="38" t="s">
        <v>44</v>
      </c>
    </row>
    <row r="5" spans="1:15" x14ac:dyDescent="0.25">
      <c r="A5" s="1"/>
      <c r="B5" s="4" t="s">
        <v>4</v>
      </c>
      <c r="C5" s="42">
        <f>CUESTIONARIO!C12*4</f>
        <v>4</v>
      </c>
      <c r="D5" s="42">
        <f>CUESTIONARIO!D12*3</f>
        <v>0</v>
      </c>
      <c r="E5" s="42">
        <f>CUESTIONARIO!E12*2</f>
        <v>0</v>
      </c>
      <c r="F5" s="42">
        <f>CUESTIONARIO!F12*1</f>
        <v>0</v>
      </c>
      <c r="G5" s="38">
        <f>SUM(C5:F5)</f>
        <v>4</v>
      </c>
    </row>
    <row r="6" spans="1:15" x14ac:dyDescent="0.25">
      <c r="A6" s="1"/>
      <c r="B6" s="4" t="s">
        <v>5</v>
      </c>
      <c r="C6" s="42">
        <f>CUESTIONARIO!C13*4</f>
        <v>0</v>
      </c>
      <c r="D6" s="42">
        <f>CUESTIONARIO!D13*3</f>
        <v>0</v>
      </c>
      <c r="E6" s="42">
        <f>CUESTIONARIO!E13*2</f>
        <v>0</v>
      </c>
      <c r="F6" s="42">
        <f>CUESTIONARIO!F13*1</f>
        <v>0</v>
      </c>
      <c r="G6" s="38">
        <f t="shared" ref="G6:G38" si="0">SUM(C6:F6)</f>
        <v>0</v>
      </c>
    </row>
    <row r="7" spans="1:15" x14ac:dyDescent="0.25">
      <c r="A7" s="1"/>
      <c r="B7" s="4" t="s">
        <v>6</v>
      </c>
      <c r="C7" s="42">
        <f>CUESTIONARIO!C14*1</f>
        <v>0</v>
      </c>
      <c r="D7" s="42">
        <f>CUESTIONARIO!D14*2</f>
        <v>0</v>
      </c>
      <c r="E7" s="42">
        <f>CUESTIONARIO!E14*3</f>
        <v>0</v>
      </c>
      <c r="F7" s="42">
        <f>CUESTIONARIO!F14*4</f>
        <v>0</v>
      </c>
      <c r="G7" s="38">
        <f t="shared" si="0"/>
        <v>0</v>
      </c>
    </row>
    <row r="8" spans="1:15" x14ac:dyDescent="0.25">
      <c r="A8" s="1"/>
      <c r="B8" s="4" t="s">
        <v>7</v>
      </c>
      <c r="C8" s="42">
        <f>CUESTIONARIO!C15*4</f>
        <v>0</v>
      </c>
      <c r="D8" s="42">
        <f>CUESTIONARIO!D15*3</f>
        <v>0</v>
      </c>
      <c r="E8" s="42">
        <f>CUESTIONARIO!E15*2</f>
        <v>0</v>
      </c>
      <c r="F8" s="42">
        <f>CUESTIONARIO!F15*1</f>
        <v>0</v>
      </c>
      <c r="G8" s="38">
        <f t="shared" si="0"/>
        <v>0</v>
      </c>
    </row>
    <row r="9" spans="1:15" x14ac:dyDescent="0.25">
      <c r="A9" s="1"/>
      <c r="B9" s="4" t="s">
        <v>8</v>
      </c>
      <c r="C9" s="42">
        <f>CUESTIONARIO!C16*4</f>
        <v>0</v>
      </c>
      <c r="D9" s="42">
        <f>CUESTIONARIO!D16*3</f>
        <v>0</v>
      </c>
      <c r="E9" s="42">
        <f>CUESTIONARIO!E16*2</f>
        <v>0</v>
      </c>
      <c r="F9" s="42">
        <f>CUESTIONARIO!F16*1</f>
        <v>0</v>
      </c>
      <c r="G9" s="38">
        <f t="shared" si="0"/>
        <v>0</v>
      </c>
    </row>
    <row r="10" spans="1:15" x14ac:dyDescent="0.25">
      <c r="A10" s="1"/>
      <c r="B10" s="4" t="s">
        <v>9</v>
      </c>
      <c r="C10" s="42">
        <f>CUESTIONARIO!C17*4</f>
        <v>0</v>
      </c>
      <c r="D10" s="42">
        <f>CUESTIONARIO!D17*3</f>
        <v>0</v>
      </c>
      <c r="E10" s="42">
        <f>CUESTIONARIO!E17*2</f>
        <v>0</v>
      </c>
      <c r="F10" s="42">
        <f>CUESTIONARIO!F17*1</f>
        <v>0</v>
      </c>
      <c r="G10" s="38">
        <f t="shared" si="0"/>
        <v>0</v>
      </c>
      <c r="I10" s="17" t="s">
        <v>38</v>
      </c>
      <c r="J10" s="17" t="s">
        <v>39</v>
      </c>
      <c r="K10" s="17" t="s">
        <v>40</v>
      </c>
      <c r="L10" s="17" t="s">
        <v>41</v>
      </c>
      <c r="M10" s="17" t="s">
        <v>42</v>
      </c>
      <c r="N10" s="17" t="s">
        <v>43</v>
      </c>
      <c r="O10" s="20" t="s">
        <v>37</v>
      </c>
    </row>
    <row r="11" spans="1:15" x14ac:dyDescent="0.25">
      <c r="A11" s="1"/>
      <c r="B11" s="4" t="s">
        <v>10</v>
      </c>
      <c r="C11" s="42">
        <f>CUESTIONARIO!C18*1</f>
        <v>0</v>
      </c>
      <c r="D11" s="42">
        <f>CUESTIONARIO!D18*2</f>
        <v>0</v>
      </c>
      <c r="E11" s="42">
        <f>CUESTIONARIO!E18*3</f>
        <v>0</v>
      </c>
      <c r="F11" s="42">
        <f>CUESTIONARIO!F18*4</f>
        <v>0</v>
      </c>
      <c r="G11" s="38">
        <f t="shared" si="0"/>
        <v>0</v>
      </c>
      <c r="I11" s="38">
        <v>32</v>
      </c>
      <c r="J11" s="38">
        <v>20</v>
      </c>
      <c r="K11" s="38">
        <v>16</v>
      </c>
      <c r="L11" s="38">
        <v>24</v>
      </c>
      <c r="M11" s="38">
        <v>20</v>
      </c>
      <c r="N11" s="38">
        <v>20</v>
      </c>
      <c r="O11" s="38">
        <v>132</v>
      </c>
    </row>
    <row r="12" spans="1:15" x14ac:dyDescent="0.25">
      <c r="A12" s="1"/>
      <c r="B12" s="4" t="s">
        <v>11</v>
      </c>
      <c r="C12" s="42">
        <f>CUESTIONARIO!C19*4</f>
        <v>0</v>
      </c>
      <c r="D12" s="42">
        <f>CUESTIONARIO!D19*3</f>
        <v>0</v>
      </c>
      <c r="E12" s="42">
        <f>CUESTIONARIO!E19*2</f>
        <v>0</v>
      </c>
      <c r="F12" s="42">
        <f>CUESTIONARIO!F19*1</f>
        <v>0</v>
      </c>
      <c r="G12" s="38">
        <f t="shared" si="0"/>
        <v>0</v>
      </c>
      <c r="I12" s="44">
        <f>SUM(G5+G6+G14+G15+G23+G24+G32+G33)</f>
        <v>4</v>
      </c>
      <c r="J12" s="44">
        <f>SUM(G7+G8+G16+G25+G34)</f>
        <v>0</v>
      </c>
      <c r="K12" s="44">
        <f>SUM(G17+G26+G35+G36)</f>
        <v>0</v>
      </c>
      <c r="L12" s="44">
        <f>SUM(G9+G18+G19+G27+G28+G37)</f>
        <v>0</v>
      </c>
      <c r="M12" s="44">
        <f>SUM(G10+G11+G20+G29+G30)</f>
        <v>0</v>
      </c>
      <c r="N12" s="44">
        <f>SUM(G12+G13+G21+G22+G31)</f>
        <v>0</v>
      </c>
      <c r="O12" s="45">
        <f>SUM(I12:N12)</f>
        <v>4</v>
      </c>
    </row>
    <row r="13" spans="1:15" x14ac:dyDescent="0.25">
      <c r="A13" s="1"/>
      <c r="B13" s="4" t="s">
        <v>12</v>
      </c>
      <c r="C13" s="42">
        <f>CUESTIONARIO!C20*4</f>
        <v>0</v>
      </c>
      <c r="D13" s="42">
        <f>CUESTIONARIO!D20*3</f>
        <v>0</v>
      </c>
      <c r="E13" s="42">
        <f>CUESTIONARIO!E20*2</f>
        <v>0</v>
      </c>
      <c r="F13" s="42">
        <f>CUESTIONARIO!F20*1</f>
        <v>0</v>
      </c>
      <c r="G13" s="38">
        <f t="shared" si="0"/>
        <v>0</v>
      </c>
    </row>
    <row r="14" spans="1:15" x14ac:dyDescent="0.25">
      <c r="A14" s="1"/>
      <c r="B14" s="4" t="s">
        <v>13</v>
      </c>
      <c r="C14" s="42">
        <f>CUESTIONARIO!C21*4</f>
        <v>0</v>
      </c>
      <c r="D14" s="42">
        <f>CUESTIONARIO!D21*3</f>
        <v>0</v>
      </c>
      <c r="E14" s="42">
        <f>CUESTIONARIO!E21*2</f>
        <v>0</v>
      </c>
      <c r="F14" s="42">
        <f>CUESTIONARIO!F21*1</f>
        <v>0</v>
      </c>
      <c r="G14" s="38">
        <f t="shared" si="0"/>
        <v>0</v>
      </c>
    </row>
    <row r="15" spans="1:15" x14ac:dyDescent="0.25">
      <c r="A15" s="1"/>
      <c r="B15" s="4" t="s">
        <v>14</v>
      </c>
      <c r="C15" s="42">
        <f>CUESTIONARIO!C22*4</f>
        <v>0</v>
      </c>
      <c r="D15" s="42">
        <f>CUESTIONARIO!D22*3</f>
        <v>0</v>
      </c>
      <c r="E15" s="42">
        <f>CUESTIONARIO!E22*2</f>
        <v>0</v>
      </c>
      <c r="F15" s="42">
        <f>CUESTIONARIO!F22*1</f>
        <v>0</v>
      </c>
      <c r="G15" s="38">
        <f t="shared" si="0"/>
        <v>0</v>
      </c>
    </row>
    <row r="16" spans="1:15" x14ac:dyDescent="0.25">
      <c r="A16" s="1"/>
      <c r="B16" s="4" t="s">
        <v>15</v>
      </c>
      <c r="C16" s="42">
        <f>CUESTIONARIO!C23*4</f>
        <v>0</v>
      </c>
      <c r="D16" s="42">
        <f>CUESTIONARIO!D23*3</f>
        <v>0</v>
      </c>
      <c r="E16" s="42">
        <f>CUESTIONARIO!E23*2</f>
        <v>0</v>
      </c>
      <c r="F16" s="42">
        <f>CUESTIONARIO!F23*1</f>
        <v>0</v>
      </c>
      <c r="G16" s="38">
        <f t="shared" si="0"/>
        <v>0</v>
      </c>
    </row>
    <row r="17" spans="1:7" x14ac:dyDescent="0.25">
      <c r="A17" s="1"/>
      <c r="B17" s="4" t="s">
        <v>16</v>
      </c>
      <c r="C17" s="42">
        <f>CUESTIONARIO!C24*4</f>
        <v>0</v>
      </c>
      <c r="D17" s="42">
        <f>CUESTIONARIO!D24*3</f>
        <v>0</v>
      </c>
      <c r="E17" s="42">
        <f>CUESTIONARIO!E24*2</f>
        <v>0</v>
      </c>
      <c r="F17" s="42">
        <f>CUESTIONARIO!F24*1</f>
        <v>0</v>
      </c>
      <c r="G17" s="38">
        <f t="shared" si="0"/>
        <v>0</v>
      </c>
    </row>
    <row r="18" spans="1:7" x14ac:dyDescent="0.25">
      <c r="A18" s="1"/>
      <c r="B18" s="4" t="s">
        <v>17</v>
      </c>
      <c r="C18" s="42">
        <f>CUESTIONARIO!C25*4</f>
        <v>0</v>
      </c>
      <c r="D18" s="42">
        <f>CUESTIONARIO!D25*3</f>
        <v>0</v>
      </c>
      <c r="E18" s="42">
        <f>CUESTIONARIO!E25*2</f>
        <v>0</v>
      </c>
      <c r="F18" s="42">
        <f>CUESTIONARIO!F25*1</f>
        <v>0</v>
      </c>
      <c r="G18" s="38">
        <f t="shared" si="0"/>
        <v>0</v>
      </c>
    </row>
    <row r="19" spans="1:7" x14ac:dyDescent="0.25">
      <c r="A19" s="1"/>
      <c r="B19" s="4" t="s">
        <v>18</v>
      </c>
      <c r="C19" s="42">
        <f>CUESTIONARIO!C26*4</f>
        <v>0</v>
      </c>
      <c r="D19" s="42">
        <f>CUESTIONARIO!D26*3</f>
        <v>0</v>
      </c>
      <c r="E19" s="42">
        <f>CUESTIONARIO!E26*2</f>
        <v>0</v>
      </c>
      <c r="F19" s="42">
        <f>CUESTIONARIO!F26*1</f>
        <v>0</v>
      </c>
      <c r="G19" s="38">
        <f t="shared" si="0"/>
        <v>0</v>
      </c>
    </row>
    <row r="20" spans="1:7" x14ac:dyDescent="0.25">
      <c r="A20" s="1"/>
      <c r="B20" s="4" t="s">
        <v>19</v>
      </c>
      <c r="C20" s="42">
        <f>CUESTIONARIO!C27*1</f>
        <v>0</v>
      </c>
      <c r="D20" s="42">
        <f>CUESTIONARIO!D27*2</f>
        <v>0</v>
      </c>
      <c r="E20" s="42">
        <f>CUESTIONARIO!E27*3</f>
        <v>0</v>
      </c>
      <c r="F20" s="42">
        <f>CUESTIONARIO!F27*4</f>
        <v>0</v>
      </c>
      <c r="G20" s="38">
        <f t="shared" si="0"/>
        <v>0</v>
      </c>
    </row>
    <row r="21" spans="1:7" x14ac:dyDescent="0.25">
      <c r="A21" s="1"/>
      <c r="B21" s="4" t="s">
        <v>20</v>
      </c>
      <c r="C21" s="42">
        <f>CUESTIONARIO!C28*4</f>
        <v>0</v>
      </c>
      <c r="D21" s="42">
        <f>CUESTIONARIO!D28*3</f>
        <v>0</v>
      </c>
      <c r="E21" s="42">
        <f>CUESTIONARIO!E28*2</f>
        <v>0</v>
      </c>
      <c r="F21" s="42">
        <f>CUESTIONARIO!F28*1</f>
        <v>0</v>
      </c>
      <c r="G21" s="38">
        <f t="shared" si="0"/>
        <v>0</v>
      </c>
    </row>
    <row r="22" spans="1:7" x14ac:dyDescent="0.25">
      <c r="A22" s="1"/>
      <c r="B22" s="4" t="s">
        <v>21</v>
      </c>
      <c r="C22" s="42">
        <f>CUESTIONARIO!C29*1</f>
        <v>0</v>
      </c>
      <c r="D22" s="42">
        <f>CUESTIONARIO!D29*2</f>
        <v>0</v>
      </c>
      <c r="E22" s="42">
        <f>CUESTIONARIO!E29*3</f>
        <v>0</v>
      </c>
      <c r="F22" s="42">
        <f>CUESTIONARIO!F29*4</f>
        <v>0</v>
      </c>
      <c r="G22" s="38">
        <f t="shared" si="0"/>
        <v>0</v>
      </c>
    </row>
    <row r="23" spans="1:7" x14ac:dyDescent="0.25">
      <c r="A23" s="1"/>
      <c r="B23" s="4" t="s">
        <v>22</v>
      </c>
      <c r="C23" s="42">
        <f>CUESTIONARIO!C30*4</f>
        <v>0</v>
      </c>
      <c r="D23" s="42">
        <f>CUESTIONARIO!D30*3</f>
        <v>0</v>
      </c>
      <c r="E23" s="42">
        <f>CUESTIONARIO!E30*2</f>
        <v>0</v>
      </c>
      <c r="F23" s="42">
        <f>CUESTIONARIO!F30*1</f>
        <v>0</v>
      </c>
      <c r="G23" s="38">
        <f t="shared" si="0"/>
        <v>0</v>
      </c>
    </row>
    <row r="24" spans="1:7" x14ac:dyDescent="0.25">
      <c r="A24" s="1"/>
      <c r="B24" s="4" t="s">
        <v>23</v>
      </c>
      <c r="C24" s="42">
        <f>CUESTIONARIO!C31*4</f>
        <v>0</v>
      </c>
      <c r="D24" s="42">
        <f>CUESTIONARIO!D31*3</f>
        <v>0</v>
      </c>
      <c r="E24" s="42">
        <f>CUESTIONARIO!E31*2</f>
        <v>0</v>
      </c>
      <c r="F24" s="42">
        <f>CUESTIONARIO!F31*1</f>
        <v>0</v>
      </c>
      <c r="G24" s="38">
        <f t="shared" si="0"/>
        <v>0</v>
      </c>
    </row>
    <row r="25" spans="1:7" x14ac:dyDescent="0.25">
      <c r="A25" s="1"/>
      <c r="B25" s="4" t="s">
        <v>24</v>
      </c>
      <c r="C25" s="42">
        <f>CUESTIONARIO!C32*4</f>
        <v>0</v>
      </c>
      <c r="D25" s="42">
        <f>CUESTIONARIO!D32*3</f>
        <v>0</v>
      </c>
      <c r="E25" s="42">
        <f>CUESTIONARIO!E32*2</f>
        <v>0</v>
      </c>
      <c r="F25" s="42">
        <f>CUESTIONARIO!F32*1</f>
        <v>0</v>
      </c>
      <c r="G25" s="38">
        <f t="shared" si="0"/>
        <v>0</v>
      </c>
    </row>
    <row r="26" spans="1:7" x14ac:dyDescent="0.25">
      <c r="A26" s="1"/>
      <c r="B26" s="4" t="s">
        <v>25</v>
      </c>
      <c r="C26" s="42">
        <f>CUESTIONARIO!C33*4</f>
        <v>0</v>
      </c>
      <c r="D26" s="42">
        <f>CUESTIONARIO!D33*3</f>
        <v>0</v>
      </c>
      <c r="E26" s="42">
        <f>CUESTIONARIO!E33*2</f>
        <v>0</v>
      </c>
      <c r="F26" s="42">
        <f>CUESTIONARIO!F33*1</f>
        <v>0</v>
      </c>
      <c r="G26" s="38">
        <f t="shared" si="0"/>
        <v>0</v>
      </c>
    </row>
    <row r="27" spans="1:7" x14ac:dyDescent="0.25">
      <c r="A27" s="1"/>
      <c r="B27" s="4" t="s">
        <v>26</v>
      </c>
      <c r="C27" s="42">
        <f>CUESTIONARIO!C34*4</f>
        <v>0</v>
      </c>
      <c r="D27" s="42">
        <f>CUESTIONARIO!D34*3</f>
        <v>0</v>
      </c>
      <c r="E27" s="42">
        <f>CUESTIONARIO!E34*2</f>
        <v>0</v>
      </c>
      <c r="F27" s="42">
        <f>CUESTIONARIO!F34*1</f>
        <v>0</v>
      </c>
      <c r="G27" s="38">
        <f t="shared" si="0"/>
        <v>0</v>
      </c>
    </row>
    <row r="28" spans="1:7" x14ac:dyDescent="0.25">
      <c r="A28" s="1"/>
      <c r="B28" s="4" t="s">
        <v>27</v>
      </c>
      <c r="C28" s="42">
        <f>CUESTIONARIO!C35*4</f>
        <v>0</v>
      </c>
      <c r="D28" s="42">
        <f>CUESTIONARIO!D35*3</f>
        <v>0</v>
      </c>
      <c r="E28" s="42">
        <f>CUESTIONARIO!E35*2</f>
        <v>0</v>
      </c>
      <c r="F28" s="42">
        <f>CUESTIONARIO!F35*1</f>
        <v>0</v>
      </c>
      <c r="G28" s="38">
        <f t="shared" si="0"/>
        <v>0</v>
      </c>
    </row>
    <row r="29" spans="1:7" x14ac:dyDescent="0.25">
      <c r="A29" s="1"/>
      <c r="B29" s="4" t="s">
        <v>28</v>
      </c>
      <c r="C29" s="42">
        <f>CUESTIONARIO!C36*1</f>
        <v>0</v>
      </c>
      <c r="D29" s="42">
        <f>CUESTIONARIO!D36*2</f>
        <v>0</v>
      </c>
      <c r="E29" s="42">
        <f>CUESTIONARIO!E36*3</f>
        <v>0</v>
      </c>
      <c r="F29" s="42">
        <f>CUESTIONARIO!F36*4</f>
        <v>0</v>
      </c>
      <c r="G29" s="38">
        <f t="shared" si="0"/>
        <v>0</v>
      </c>
    </row>
    <row r="30" spans="1:7" x14ac:dyDescent="0.25">
      <c r="A30" s="1"/>
      <c r="B30" s="4" t="s">
        <v>29</v>
      </c>
      <c r="C30" s="42">
        <f>CUESTIONARIO!C37*4</f>
        <v>0</v>
      </c>
      <c r="D30" s="42">
        <f>CUESTIONARIO!D37*3</f>
        <v>0</v>
      </c>
      <c r="E30" s="42">
        <f>CUESTIONARIO!E37*2</f>
        <v>0</v>
      </c>
      <c r="F30" s="42">
        <f>CUESTIONARIO!F37*1</f>
        <v>0</v>
      </c>
      <c r="G30" s="38">
        <f t="shared" si="0"/>
        <v>0</v>
      </c>
    </row>
    <row r="31" spans="1:7" x14ac:dyDescent="0.25">
      <c r="A31" s="1"/>
      <c r="B31" s="4" t="s">
        <v>30</v>
      </c>
      <c r="C31" s="42">
        <f>CUESTIONARIO!C38*4</f>
        <v>0</v>
      </c>
      <c r="D31" s="42">
        <f>CUESTIONARIO!D38*3</f>
        <v>0</v>
      </c>
      <c r="E31" s="42">
        <f>CUESTIONARIO!E38*2</f>
        <v>0</v>
      </c>
      <c r="F31" s="42">
        <f>CUESTIONARIO!F38*1</f>
        <v>0</v>
      </c>
      <c r="G31" s="38">
        <f t="shared" si="0"/>
        <v>0</v>
      </c>
    </row>
    <row r="32" spans="1:7" x14ac:dyDescent="0.25">
      <c r="A32" s="1"/>
      <c r="B32" s="4" t="s">
        <v>31</v>
      </c>
      <c r="C32" s="42">
        <f>CUESTIONARIO!C39*4</f>
        <v>0</v>
      </c>
      <c r="D32" s="42">
        <f>CUESTIONARIO!D39*3</f>
        <v>0</v>
      </c>
      <c r="E32" s="42">
        <f>CUESTIONARIO!E39*2</f>
        <v>0</v>
      </c>
      <c r="F32" s="42">
        <f>CUESTIONARIO!F39*1</f>
        <v>0</v>
      </c>
      <c r="G32" s="38">
        <f t="shared" si="0"/>
        <v>0</v>
      </c>
    </row>
    <row r="33" spans="1:7" x14ac:dyDescent="0.25">
      <c r="A33" s="1"/>
      <c r="B33" s="4" t="s">
        <v>32</v>
      </c>
      <c r="C33" s="42">
        <f>CUESTIONARIO!C40*4</f>
        <v>0</v>
      </c>
      <c r="D33" s="42">
        <f>CUESTIONARIO!D40*3</f>
        <v>0</v>
      </c>
      <c r="E33" s="42">
        <f>CUESTIONARIO!E40*2</f>
        <v>0</v>
      </c>
      <c r="F33" s="42">
        <f>CUESTIONARIO!F40*1</f>
        <v>0</v>
      </c>
      <c r="G33" s="38">
        <f t="shared" si="0"/>
        <v>0</v>
      </c>
    </row>
    <row r="34" spans="1:7" x14ac:dyDescent="0.25">
      <c r="A34" s="1"/>
      <c r="B34" s="4" t="s">
        <v>33</v>
      </c>
      <c r="C34" s="42">
        <f>CUESTIONARIO!C41*4</f>
        <v>0</v>
      </c>
      <c r="D34" s="42">
        <f>CUESTIONARIO!D41*3</f>
        <v>0</v>
      </c>
      <c r="E34" s="42">
        <f>CUESTIONARIO!E41*2</f>
        <v>0</v>
      </c>
      <c r="F34" s="42">
        <f>CUESTIONARIO!F41*1</f>
        <v>0</v>
      </c>
      <c r="G34" s="38">
        <f t="shared" si="0"/>
        <v>0</v>
      </c>
    </row>
    <row r="35" spans="1:7" x14ac:dyDescent="0.25">
      <c r="A35" s="1"/>
      <c r="B35" s="4" t="s">
        <v>34</v>
      </c>
      <c r="C35" s="42">
        <f>CUESTIONARIO!C42*4</f>
        <v>0</v>
      </c>
      <c r="D35" s="42">
        <f>CUESTIONARIO!D42*3</f>
        <v>0</v>
      </c>
      <c r="E35" s="42">
        <f>CUESTIONARIO!E42*2</f>
        <v>0</v>
      </c>
      <c r="F35" s="42">
        <f>CUESTIONARIO!F42*1</f>
        <v>0</v>
      </c>
      <c r="G35" s="38">
        <f t="shared" si="0"/>
        <v>0</v>
      </c>
    </row>
    <row r="36" spans="1:7" x14ac:dyDescent="0.25">
      <c r="A36" s="1"/>
      <c r="B36" s="4" t="s">
        <v>35</v>
      </c>
      <c r="C36" s="42">
        <f>CUESTIONARIO!C43*4</f>
        <v>0</v>
      </c>
      <c r="D36" s="42">
        <f>CUESTIONARIO!D43*3</f>
        <v>0</v>
      </c>
      <c r="E36" s="42">
        <f>CUESTIONARIO!E43*2</f>
        <v>0</v>
      </c>
      <c r="F36" s="42">
        <f>CUESTIONARIO!F43*1</f>
        <v>0</v>
      </c>
      <c r="G36" s="38">
        <f t="shared" si="0"/>
        <v>0</v>
      </c>
    </row>
    <row r="37" spans="1:7" x14ac:dyDescent="0.25">
      <c r="A37" s="1"/>
      <c r="B37" s="4" t="s">
        <v>36</v>
      </c>
      <c r="C37" s="42">
        <f>CUESTIONARIO!C44*4</f>
        <v>0</v>
      </c>
      <c r="D37" s="42">
        <f>CUESTIONARIO!D44*3</f>
        <v>0</v>
      </c>
      <c r="E37" s="42">
        <f>CUESTIONARIO!E44*2</f>
        <v>0</v>
      </c>
      <c r="F37" s="42">
        <f>CUESTIONARIO!F44*1</f>
        <v>0</v>
      </c>
      <c r="G37" s="38">
        <f t="shared" si="0"/>
        <v>0</v>
      </c>
    </row>
    <row r="38" spans="1:7" x14ac:dyDescent="0.25">
      <c r="A38" s="1"/>
      <c r="B38" s="43" t="s">
        <v>37</v>
      </c>
      <c r="C38" s="38">
        <f t="shared" ref="C38:F38" si="1">SUM(C5:C37)</f>
        <v>4</v>
      </c>
      <c r="D38" s="38">
        <f t="shared" si="1"/>
        <v>0</v>
      </c>
      <c r="E38" s="38">
        <f t="shared" si="1"/>
        <v>0</v>
      </c>
      <c r="F38" s="38">
        <f t="shared" si="1"/>
        <v>0</v>
      </c>
      <c r="G38" s="38">
        <f t="shared" si="0"/>
        <v>4</v>
      </c>
    </row>
    <row r="39" spans="1:7" x14ac:dyDescent="0.25">
      <c r="A39" s="1"/>
      <c r="B39" s="1"/>
    </row>
    <row r="40" spans="1:7" x14ac:dyDescent="0.25">
      <c r="A40" s="1"/>
      <c r="B40" s="1"/>
    </row>
  </sheetData>
  <sheetProtection algorithmName="SHA-512" hashValue="2nAnEoe8wcrw2YljrtS7Ths04Mf9vZClKIBSQ7PdwW0d47IZb5geYDyv5fylXB5Y6RcIYZbsXudX9sgK0mL5mw==" saltValue="+a31Z99rm4T0Wc88WtkyCQ==" spinCount="100000" sheet="1" scenarios="1"/>
  <mergeCells count="2">
    <mergeCell ref="C1:G1"/>
    <mergeCell ref="C2:G2"/>
  </mergeCells>
  <pageMargins left="0.7" right="0.7" top="0.75" bottom="0.75" header="0.3" footer="0.3"/>
  <pageSetup paperSize="256" scale="85" fitToHeight="0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K98"/>
  <sheetViews>
    <sheetView tabSelected="1" workbookViewId="0">
      <selection activeCell="A5" sqref="A1:XFD1048576"/>
    </sheetView>
  </sheetViews>
  <sheetFormatPr baseColWidth="10" defaultColWidth="1.7109375" defaultRowHeight="15" x14ac:dyDescent="0.25"/>
  <cols>
    <col min="1" max="1" width="2" customWidth="1"/>
    <col min="2" max="2" width="4.42578125" customWidth="1"/>
    <col min="3" max="3" width="3.7109375" customWidth="1"/>
    <col min="4" max="6" width="7.85546875" customWidth="1"/>
    <col min="7" max="7" width="8" customWidth="1"/>
    <col min="8" max="8" width="7.42578125" customWidth="1"/>
    <col min="9" max="9" width="8" customWidth="1"/>
    <col min="10" max="10" width="10.140625" customWidth="1"/>
    <col min="11" max="11" width="16.7109375" bestFit="1" customWidth="1"/>
  </cols>
  <sheetData>
    <row r="2" spans="2:11" ht="21" x14ac:dyDescent="0.35">
      <c r="D2" s="37" t="str">
        <f>RESULTADOS!I10</f>
        <v>I</v>
      </c>
      <c r="E2" s="37" t="str">
        <f>RESULTADOS!J10</f>
        <v>II</v>
      </c>
      <c r="F2" s="37" t="str">
        <f>RESULTADOS!K10</f>
        <v>III</v>
      </c>
      <c r="G2" s="37" t="str">
        <f>RESULTADOS!L10</f>
        <v>IV</v>
      </c>
      <c r="H2" s="37" t="str">
        <f>RESULTADOS!M10</f>
        <v>V</v>
      </c>
      <c r="I2" s="37" t="str">
        <f>RESULTADOS!N10</f>
        <v>VI</v>
      </c>
      <c r="J2" s="37" t="str">
        <f>RESULTADOS!O10</f>
        <v>TOTAL</v>
      </c>
    </row>
    <row r="3" spans="2:11" ht="21" x14ac:dyDescent="0.35">
      <c r="C3" s="38" t="s">
        <v>118</v>
      </c>
      <c r="D3" s="36">
        <f>RESULTADOS!I11</f>
        <v>32</v>
      </c>
      <c r="E3" s="36">
        <f>RESULTADOS!J11</f>
        <v>20</v>
      </c>
      <c r="F3" s="36">
        <f>RESULTADOS!K11</f>
        <v>16</v>
      </c>
      <c r="G3" s="36">
        <f>RESULTADOS!L11</f>
        <v>24</v>
      </c>
      <c r="H3" s="36">
        <f>RESULTADOS!M11</f>
        <v>20</v>
      </c>
      <c r="I3" s="36">
        <f>RESULTADOS!N11</f>
        <v>20</v>
      </c>
      <c r="J3" s="36">
        <f>RESULTADOS!O11</f>
        <v>132</v>
      </c>
    </row>
    <row r="4" spans="2:11" ht="21" x14ac:dyDescent="0.35">
      <c r="C4" s="39" t="s">
        <v>119</v>
      </c>
      <c r="D4" s="35">
        <f>RESULTADOS!I12</f>
        <v>4</v>
      </c>
      <c r="E4" s="35">
        <f>RESULTADOS!J12</f>
        <v>0</v>
      </c>
      <c r="F4" s="35">
        <f>RESULTADOS!K12</f>
        <v>0</v>
      </c>
      <c r="G4" s="35">
        <f>RESULTADOS!L12</f>
        <v>0</v>
      </c>
      <c r="H4" s="35">
        <f>RESULTADOS!M12</f>
        <v>0</v>
      </c>
      <c r="I4" s="35">
        <f>RESULTADOS!N12</f>
        <v>0</v>
      </c>
      <c r="J4" s="35">
        <f>RESULTADOS!O12</f>
        <v>4</v>
      </c>
    </row>
    <row r="6" spans="2:11" x14ac:dyDescent="0.25">
      <c r="B6" s="74" t="s">
        <v>84</v>
      </c>
      <c r="C6" s="74"/>
      <c r="D6" s="74"/>
      <c r="E6" s="74"/>
      <c r="F6" s="18" t="s">
        <v>116</v>
      </c>
      <c r="G6" s="18"/>
      <c r="H6" s="75" t="str">
        <f>CUESTIONARIO!B3</f>
        <v>Isaias HURTADO SANTA CRUZ</v>
      </c>
      <c r="I6" s="76"/>
      <c r="J6" s="76"/>
      <c r="K6" s="77"/>
    </row>
    <row r="7" spans="2:11" ht="15.75" thickBot="1" x14ac:dyDescent="0.3"/>
    <row r="8" spans="2:11" ht="15.75" thickBot="1" x14ac:dyDescent="0.3">
      <c r="B8" s="40" t="s">
        <v>45</v>
      </c>
      <c r="C8" s="41" t="s">
        <v>46</v>
      </c>
      <c r="D8" s="41" t="s">
        <v>47</v>
      </c>
      <c r="E8" s="41" t="s">
        <v>48</v>
      </c>
      <c r="F8" s="41" t="s">
        <v>49</v>
      </c>
      <c r="G8" s="41" t="s">
        <v>50</v>
      </c>
      <c r="H8" s="41" t="s">
        <v>51</v>
      </c>
      <c r="I8" s="41" t="s">
        <v>52</v>
      </c>
      <c r="J8" s="41" t="s">
        <v>37</v>
      </c>
      <c r="K8" s="41" t="s">
        <v>53</v>
      </c>
    </row>
    <row r="9" spans="2:11" ht="15.75" thickBot="1" x14ac:dyDescent="0.3">
      <c r="B9" s="21">
        <v>99</v>
      </c>
      <c r="C9" s="22">
        <v>9</v>
      </c>
      <c r="D9" s="22" t="s">
        <v>54</v>
      </c>
      <c r="E9" s="22" t="s">
        <v>55</v>
      </c>
      <c r="F9" s="22">
        <v>17</v>
      </c>
      <c r="G9" s="22">
        <v>24</v>
      </c>
      <c r="H9" s="22">
        <v>20</v>
      </c>
      <c r="I9" s="22">
        <v>20</v>
      </c>
      <c r="J9" s="22" t="s">
        <v>56</v>
      </c>
      <c r="K9" s="78" t="s">
        <v>57</v>
      </c>
    </row>
    <row r="10" spans="2:11" ht="15.75" thickBot="1" x14ac:dyDescent="0.3">
      <c r="B10" s="21">
        <v>98</v>
      </c>
      <c r="C10" s="22">
        <v>9</v>
      </c>
      <c r="D10" s="22">
        <v>30</v>
      </c>
      <c r="E10" s="22">
        <v>18</v>
      </c>
      <c r="F10" s="22"/>
      <c r="G10" s="22">
        <v>23</v>
      </c>
      <c r="H10" s="22">
        <v>19</v>
      </c>
      <c r="I10" s="22"/>
      <c r="J10" s="22" t="s">
        <v>58</v>
      </c>
      <c r="K10" s="79"/>
    </row>
    <row r="11" spans="2:11" ht="15.75" thickBot="1" x14ac:dyDescent="0.3">
      <c r="B11" s="21">
        <v>97</v>
      </c>
      <c r="C11" s="22">
        <v>9</v>
      </c>
      <c r="D11" s="22"/>
      <c r="E11" s="22"/>
      <c r="F11" s="22">
        <v>16</v>
      </c>
      <c r="G11" s="22"/>
      <c r="H11" s="22"/>
      <c r="I11" s="22"/>
      <c r="J11" s="22" t="s">
        <v>59</v>
      </c>
      <c r="K11" s="80"/>
    </row>
    <row r="12" spans="2:11" ht="15.75" thickBot="1" x14ac:dyDescent="0.3">
      <c r="B12" s="23">
        <v>96</v>
      </c>
      <c r="C12" s="24">
        <v>8</v>
      </c>
      <c r="D12" s="24">
        <v>29</v>
      </c>
      <c r="E12" s="24"/>
      <c r="F12" s="24"/>
      <c r="G12" s="24">
        <v>22</v>
      </c>
      <c r="H12" s="24"/>
      <c r="I12" s="24">
        <v>19</v>
      </c>
      <c r="J12" s="24">
        <v>121</v>
      </c>
      <c r="K12" s="81" t="s">
        <v>60</v>
      </c>
    </row>
    <row r="13" spans="2:11" ht="15.75" thickBot="1" x14ac:dyDescent="0.3">
      <c r="B13" s="23">
        <v>95</v>
      </c>
      <c r="C13" s="24">
        <v>8</v>
      </c>
      <c r="D13" s="24"/>
      <c r="E13" s="24">
        <v>17</v>
      </c>
      <c r="F13" s="24"/>
      <c r="G13" s="24"/>
      <c r="H13" s="24"/>
      <c r="I13" s="24"/>
      <c r="J13" s="24" t="s">
        <v>61</v>
      </c>
      <c r="K13" s="82"/>
    </row>
    <row r="14" spans="2:11" ht="15.75" thickBot="1" x14ac:dyDescent="0.3">
      <c r="B14" s="23">
        <v>94</v>
      </c>
      <c r="C14" s="24">
        <v>8</v>
      </c>
      <c r="D14" s="24"/>
      <c r="E14" s="24"/>
      <c r="F14" s="24">
        <v>15</v>
      </c>
      <c r="G14" s="24"/>
      <c r="H14" s="24">
        <v>18</v>
      </c>
      <c r="I14" s="24">
        <v>18</v>
      </c>
      <c r="J14" s="24">
        <v>117</v>
      </c>
      <c r="K14" s="82"/>
    </row>
    <row r="15" spans="2:11" ht="15.75" thickBot="1" x14ac:dyDescent="0.3">
      <c r="B15" s="23">
        <v>93</v>
      </c>
      <c r="C15" s="24">
        <v>8</v>
      </c>
      <c r="D15" s="24">
        <v>28</v>
      </c>
      <c r="E15" s="24"/>
      <c r="F15" s="24"/>
      <c r="G15" s="24"/>
      <c r="H15" s="24"/>
      <c r="I15" s="24"/>
      <c r="J15" s="24" t="s">
        <v>62</v>
      </c>
      <c r="K15" s="82"/>
    </row>
    <row r="16" spans="2:11" ht="15.75" thickBot="1" x14ac:dyDescent="0.3">
      <c r="B16" s="23">
        <v>92</v>
      </c>
      <c r="C16" s="24">
        <v>8</v>
      </c>
      <c r="D16" s="24"/>
      <c r="E16" s="24"/>
      <c r="F16" s="24"/>
      <c r="G16" s="24">
        <v>21</v>
      </c>
      <c r="H16" s="24"/>
      <c r="I16" s="24"/>
      <c r="J16" s="24">
        <v>114</v>
      </c>
      <c r="K16" s="82"/>
    </row>
    <row r="17" spans="2:11" ht="15.75" thickBot="1" x14ac:dyDescent="0.3">
      <c r="B17" s="23">
        <v>91</v>
      </c>
      <c r="C17" s="24">
        <v>8</v>
      </c>
      <c r="D17" s="24"/>
      <c r="E17" s="24"/>
      <c r="F17" s="24"/>
      <c r="G17" s="24"/>
      <c r="H17" s="24"/>
      <c r="I17" s="24"/>
      <c r="J17" s="24">
        <v>113</v>
      </c>
      <c r="K17" s="82"/>
    </row>
    <row r="18" spans="2:11" ht="15.75" thickBot="1" x14ac:dyDescent="0.3">
      <c r="B18" s="23">
        <v>90</v>
      </c>
      <c r="C18" s="24">
        <v>8</v>
      </c>
      <c r="D18" s="24"/>
      <c r="E18" s="24">
        <v>16</v>
      </c>
      <c r="F18" s="24"/>
      <c r="G18" s="24"/>
      <c r="H18" s="24"/>
      <c r="I18" s="24"/>
      <c r="J18" s="24"/>
      <c r="K18" s="82"/>
    </row>
    <row r="19" spans="2:11" ht="15.75" thickBot="1" x14ac:dyDescent="0.3">
      <c r="B19" s="23">
        <v>89</v>
      </c>
      <c r="C19" s="24">
        <v>7</v>
      </c>
      <c r="D19" s="24"/>
      <c r="E19" s="24"/>
      <c r="F19" s="24">
        <v>14</v>
      </c>
      <c r="G19" s="24"/>
      <c r="H19" s="24">
        <v>17</v>
      </c>
      <c r="I19" s="24"/>
      <c r="J19" s="24">
        <v>112</v>
      </c>
      <c r="K19" s="82"/>
    </row>
    <row r="20" spans="2:11" ht="15.75" thickBot="1" x14ac:dyDescent="0.3">
      <c r="B20" s="23">
        <v>88</v>
      </c>
      <c r="C20" s="24">
        <v>7</v>
      </c>
      <c r="D20" s="24">
        <v>27</v>
      </c>
      <c r="E20" s="24"/>
      <c r="F20" s="24"/>
      <c r="G20" s="24"/>
      <c r="H20" s="24"/>
      <c r="I20" s="24"/>
      <c r="J20" s="24">
        <v>111</v>
      </c>
      <c r="K20" s="82"/>
    </row>
    <row r="21" spans="2:11" ht="15.75" thickBot="1" x14ac:dyDescent="0.3">
      <c r="B21" s="23">
        <v>87</v>
      </c>
      <c r="C21" s="24">
        <v>7</v>
      </c>
      <c r="D21" s="24"/>
      <c r="E21" s="24"/>
      <c r="F21" s="24"/>
      <c r="G21" s="24"/>
      <c r="H21" s="24"/>
      <c r="I21" s="24">
        <v>17</v>
      </c>
      <c r="J21" s="24"/>
      <c r="K21" s="82"/>
    </row>
    <row r="22" spans="2:11" ht="15.75" thickBot="1" x14ac:dyDescent="0.3">
      <c r="B22" s="23">
        <v>86</v>
      </c>
      <c r="C22" s="24">
        <v>7</v>
      </c>
      <c r="D22" s="24"/>
      <c r="E22" s="24"/>
      <c r="F22" s="24"/>
      <c r="G22" s="24"/>
      <c r="H22" s="24"/>
      <c r="I22" s="24"/>
      <c r="J22" s="24" t="s">
        <v>63</v>
      </c>
      <c r="K22" s="82"/>
    </row>
    <row r="23" spans="2:11" ht="15.75" thickBot="1" x14ac:dyDescent="0.3">
      <c r="B23" s="23">
        <v>85</v>
      </c>
      <c r="C23" s="24">
        <v>7</v>
      </c>
      <c r="D23" s="24"/>
      <c r="E23" s="24"/>
      <c r="F23" s="24"/>
      <c r="G23" s="24">
        <v>20</v>
      </c>
      <c r="H23" s="24"/>
      <c r="I23" s="24"/>
      <c r="J23" s="24"/>
      <c r="K23" s="82"/>
    </row>
    <row r="24" spans="2:11" ht="15.75" thickBot="1" x14ac:dyDescent="0.3">
      <c r="B24" s="23">
        <v>84</v>
      </c>
      <c r="C24" s="24">
        <v>7</v>
      </c>
      <c r="D24" s="24"/>
      <c r="E24" s="24"/>
      <c r="F24" s="24"/>
      <c r="G24" s="24"/>
      <c r="H24" s="24"/>
      <c r="I24" s="24"/>
      <c r="J24" s="24">
        <v>107</v>
      </c>
      <c r="K24" s="82"/>
    </row>
    <row r="25" spans="2:11" ht="15.75" thickBot="1" x14ac:dyDescent="0.3">
      <c r="B25" s="23">
        <v>83</v>
      </c>
      <c r="C25" s="24">
        <v>7</v>
      </c>
      <c r="D25" s="24">
        <v>26</v>
      </c>
      <c r="E25" s="24"/>
      <c r="F25" s="24"/>
      <c r="G25" s="24"/>
      <c r="H25" s="24"/>
      <c r="I25" s="24"/>
      <c r="J25" s="24"/>
      <c r="K25" s="82"/>
    </row>
    <row r="26" spans="2:11" ht="15.75" thickBot="1" x14ac:dyDescent="0.3">
      <c r="B26" s="23">
        <v>82</v>
      </c>
      <c r="C26" s="24">
        <v>7</v>
      </c>
      <c r="D26" s="24"/>
      <c r="E26" s="24"/>
      <c r="F26" s="24">
        <v>13</v>
      </c>
      <c r="G26" s="24"/>
      <c r="H26" s="24">
        <v>16</v>
      </c>
      <c r="I26" s="24"/>
      <c r="J26" s="24"/>
      <c r="K26" s="82"/>
    </row>
    <row r="27" spans="2:11" ht="15.75" thickBot="1" x14ac:dyDescent="0.3">
      <c r="B27" s="23">
        <v>81</v>
      </c>
      <c r="C27" s="24">
        <v>7</v>
      </c>
      <c r="D27" s="24"/>
      <c r="E27" s="24"/>
      <c r="F27" s="24"/>
      <c r="G27" s="24"/>
      <c r="H27" s="24"/>
      <c r="I27" s="24"/>
      <c r="J27" s="24">
        <v>106</v>
      </c>
      <c r="K27" s="82"/>
    </row>
    <row r="28" spans="2:11" ht="15.75" thickBot="1" x14ac:dyDescent="0.3">
      <c r="B28" s="23">
        <v>80</v>
      </c>
      <c r="C28" s="24">
        <v>7</v>
      </c>
      <c r="D28" s="24"/>
      <c r="E28" s="24">
        <v>15</v>
      </c>
      <c r="F28" s="24"/>
      <c r="G28" s="24"/>
      <c r="H28" s="24"/>
      <c r="I28" s="24"/>
      <c r="J28" s="24">
        <v>105</v>
      </c>
      <c r="K28" s="82"/>
    </row>
    <row r="29" spans="2:11" ht="15.75" thickBot="1" x14ac:dyDescent="0.3">
      <c r="B29" s="23">
        <v>79</v>
      </c>
      <c r="C29" s="24">
        <v>7</v>
      </c>
      <c r="D29" s="24"/>
      <c r="E29" s="24"/>
      <c r="F29" s="24"/>
      <c r="G29" s="24"/>
      <c r="H29" s="24"/>
      <c r="I29" s="24"/>
      <c r="J29" s="24">
        <v>104</v>
      </c>
      <c r="K29" s="82"/>
    </row>
    <row r="30" spans="2:11" ht="15.75" thickBot="1" x14ac:dyDescent="0.3">
      <c r="B30" s="23">
        <v>78</v>
      </c>
      <c r="C30" s="24">
        <v>7</v>
      </c>
      <c r="D30" s="24"/>
      <c r="E30" s="24"/>
      <c r="F30" s="24"/>
      <c r="G30" s="24">
        <v>19</v>
      </c>
      <c r="H30" s="24"/>
      <c r="I30" s="24"/>
      <c r="J30" s="24"/>
      <c r="K30" s="82"/>
    </row>
    <row r="31" spans="2:11" ht="15.75" thickBot="1" x14ac:dyDescent="0.3">
      <c r="B31" s="23">
        <v>77</v>
      </c>
      <c r="C31" s="24">
        <v>7</v>
      </c>
      <c r="D31" s="24"/>
      <c r="E31" s="24"/>
      <c r="F31" s="24"/>
      <c r="G31" s="24"/>
      <c r="H31" s="24"/>
      <c r="I31" s="24"/>
      <c r="J31" s="24">
        <v>103</v>
      </c>
      <c r="K31" s="82"/>
    </row>
    <row r="32" spans="2:11" ht="15.75" thickBot="1" x14ac:dyDescent="0.3">
      <c r="B32" s="23">
        <v>76</v>
      </c>
      <c r="C32" s="24">
        <v>7</v>
      </c>
      <c r="D32" s="24">
        <v>25</v>
      </c>
      <c r="E32" s="24"/>
      <c r="F32" s="24"/>
      <c r="G32" s="24"/>
      <c r="H32" s="24"/>
      <c r="I32" s="24">
        <v>16</v>
      </c>
      <c r="J32" s="24"/>
      <c r="K32" s="82"/>
    </row>
    <row r="33" spans="2:11" ht="15.75" thickBot="1" x14ac:dyDescent="0.3">
      <c r="B33" s="23">
        <v>75</v>
      </c>
      <c r="C33" s="24">
        <v>7</v>
      </c>
      <c r="D33" s="24"/>
      <c r="E33" s="24"/>
      <c r="F33" s="24"/>
      <c r="G33" s="24"/>
      <c r="H33" s="24"/>
      <c r="I33" s="24"/>
      <c r="J33" s="24">
        <v>102</v>
      </c>
      <c r="K33" s="83"/>
    </row>
    <row r="34" spans="2:11" ht="15.75" thickBot="1" x14ac:dyDescent="0.3">
      <c r="B34" s="25">
        <v>74</v>
      </c>
      <c r="C34" s="26">
        <v>6</v>
      </c>
      <c r="D34" s="26"/>
      <c r="E34" s="26"/>
      <c r="F34" s="26"/>
      <c r="G34" s="26"/>
      <c r="H34" s="26"/>
      <c r="I34" s="26"/>
      <c r="J34" s="26">
        <v>101</v>
      </c>
      <c r="K34" s="84" t="s">
        <v>64</v>
      </c>
    </row>
    <row r="35" spans="2:11" ht="15.75" thickBot="1" x14ac:dyDescent="0.3">
      <c r="B35" s="25">
        <v>73</v>
      </c>
      <c r="C35" s="26">
        <v>6</v>
      </c>
      <c r="D35" s="26"/>
      <c r="E35" s="26"/>
      <c r="F35" s="26"/>
      <c r="G35" s="26"/>
      <c r="H35" s="26"/>
      <c r="I35" s="26"/>
      <c r="J35" s="26">
        <v>100</v>
      </c>
      <c r="K35" s="85"/>
    </row>
    <row r="36" spans="2:11" ht="15.75" thickBot="1" x14ac:dyDescent="0.3">
      <c r="B36" s="25">
        <v>72</v>
      </c>
      <c r="C36" s="26">
        <v>6</v>
      </c>
      <c r="D36" s="26"/>
      <c r="E36" s="26"/>
      <c r="F36" s="26"/>
      <c r="G36" s="26"/>
      <c r="H36" s="26"/>
      <c r="I36" s="26"/>
      <c r="J36" s="26">
        <v>99</v>
      </c>
      <c r="K36" s="85"/>
    </row>
    <row r="37" spans="2:11" ht="15.75" thickBot="1" x14ac:dyDescent="0.3">
      <c r="B37" s="25">
        <v>71</v>
      </c>
      <c r="C37" s="26">
        <v>6</v>
      </c>
      <c r="D37" s="26"/>
      <c r="E37" s="26"/>
      <c r="F37" s="26"/>
      <c r="G37" s="26"/>
      <c r="H37" s="26">
        <v>15</v>
      </c>
      <c r="I37" s="26"/>
      <c r="J37" s="26"/>
      <c r="K37" s="85"/>
    </row>
    <row r="38" spans="2:11" ht="15.75" thickBot="1" x14ac:dyDescent="0.3">
      <c r="B38" s="25">
        <v>70</v>
      </c>
      <c r="C38" s="26">
        <v>6</v>
      </c>
      <c r="D38" s="26"/>
      <c r="E38" s="26"/>
      <c r="F38" s="26">
        <v>12</v>
      </c>
      <c r="G38" s="26"/>
      <c r="H38" s="26"/>
      <c r="I38" s="26"/>
      <c r="J38" s="26"/>
      <c r="K38" s="85"/>
    </row>
    <row r="39" spans="2:11" ht="15.75" thickBot="1" x14ac:dyDescent="0.3">
      <c r="B39" s="25">
        <v>69</v>
      </c>
      <c r="C39" s="26">
        <v>6</v>
      </c>
      <c r="D39" s="26"/>
      <c r="E39" s="26"/>
      <c r="F39" s="26"/>
      <c r="G39" s="26">
        <v>18</v>
      </c>
      <c r="H39" s="26"/>
      <c r="I39" s="26"/>
      <c r="J39" s="26"/>
      <c r="K39" s="85"/>
    </row>
    <row r="40" spans="2:11" ht="15.75" thickBot="1" x14ac:dyDescent="0.3">
      <c r="B40" s="25">
        <v>68</v>
      </c>
      <c r="C40" s="26">
        <v>6</v>
      </c>
      <c r="D40" s="26">
        <v>24</v>
      </c>
      <c r="E40" s="26"/>
      <c r="F40" s="26"/>
      <c r="G40" s="26"/>
      <c r="H40" s="26"/>
      <c r="I40" s="26"/>
      <c r="J40" s="26">
        <v>98</v>
      </c>
      <c r="K40" s="85"/>
    </row>
    <row r="41" spans="2:11" ht="15.75" thickBot="1" x14ac:dyDescent="0.3">
      <c r="B41" s="25">
        <v>66</v>
      </c>
      <c r="C41" s="26">
        <v>6</v>
      </c>
      <c r="D41" s="26"/>
      <c r="E41" s="26">
        <v>14</v>
      </c>
      <c r="F41" s="26"/>
      <c r="G41" s="26"/>
      <c r="H41" s="26"/>
      <c r="I41" s="26"/>
      <c r="J41" s="26"/>
      <c r="K41" s="85"/>
    </row>
    <row r="42" spans="2:11" ht="15.75" thickBot="1" x14ac:dyDescent="0.3">
      <c r="B42" s="25">
        <v>65</v>
      </c>
      <c r="C42" s="26">
        <v>6</v>
      </c>
      <c r="D42" s="26"/>
      <c r="E42" s="26"/>
      <c r="F42" s="26"/>
      <c r="G42" s="26"/>
      <c r="H42" s="26"/>
      <c r="I42" s="26">
        <v>15</v>
      </c>
      <c r="J42" s="26"/>
      <c r="K42" s="85"/>
    </row>
    <row r="43" spans="2:11" ht="15.75" thickBot="1" x14ac:dyDescent="0.3">
      <c r="B43" s="25">
        <v>64</v>
      </c>
      <c r="C43" s="26">
        <v>6</v>
      </c>
      <c r="D43" s="26"/>
      <c r="E43" s="26"/>
      <c r="F43" s="26"/>
      <c r="G43" s="26"/>
      <c r="H43" s="26"/>
      <c r="I43" s="26"/>
      <c r="J43" s="26" t="s">
        <v>65</v>
      </c>
      <c r="K43" s="85"/>
    </row>
    <row r="44" spans="2:11" ht="15.75" thickBot="1" x14ac:dyDescent="0.3">
      <c r="B44" s="25">
        <v>63</v>
      </c>
      <c r="C44" s="26">
        <v>6</v>
      </c>
      <c r="D44" s="26"/>
      <c r="E44" s="26"/>
      <c r="F44" s="26"/>
      <c r="G44" s="26"/>
      <c r="H44" s="26"/>
      <c r="I44" s="26"/>
      <c r="J44" s="26">
        <v>95</v>
      </c>
      <c r="K44" s="85"/>
    </row>
    <row r="45" spans="2:11" ht="15.75" thickBot="1" x14ac:dyDescent="0.3">
      <c r="B45" s="25">
        <v>61</v>
      </c>
      <c r="C45" s="26">
        <v>6</v>
      </c>
      <c r="D45" s="26"/>
      <c r="E45" s="26"/>
      <c r="F45" s="26"/>
      <c r="G45" s="26"/>
      <c r="H45" s="26"/>
      <c r="I45" s="26"/>
      <c r="J45" s="26">
        <v>94</v>
      </c>
      <c r="K45" s="86"/>
    </row>
    <row r="46" spans="2:11" ht="15.75" thickBot="1" x14ac:dyDescent="0.3">
      <c r="B46" s="27">
        <v>59</v>
      </c>
      <c r="C46" s="28">
        <v>5</v>
      </c>
      <c r="D46" s="28">
        <v>23</v>
      </c>
      <c r="E46" s="28"/>
      <c r="F46" s="28"/>
      <c r="G46" s="28"/>
      <c r="H46" s="28"/>
      <c r="I46" s="28"/>
      <c r="J46" s="28"/>
      <c r="K46" s="87" t="s">
        <v>66</v>
      </c>
    </row>
    <row r="47" spans="2:11" ht="15.75" thickBot="1" x14ac:dyDescent="0.3">
      <c r="B47" s="27">
        <v>58</v>
      </c>
      <c r="C47" s="28">
        <v>5</v>
      </c>
      <c r="D47" s="28"/>
      <c r="E47" s="28"/>
      <c r="F47" s="28"/>
      <c r="G47" s="28">
        <v>17</v>
      </c>
      <c r="H47" s="28"/>
      <c r="I47" s="28"/>
      <c r="J47" s="28">
        <v>93</v>
      </c>
      <c r="K47" s="88"/>
    </row>
    <row r="48" spans="2:11" ht="15.75" thickBot="1" x14ac:dyDescent="0.3">
      <c r="B48" s="27">
        <v>57</v>
      </c>
      <c r="C48" s="28">
        <v>5</v>
      </c>
      <c r="D48" s="28"/>
      <c r="E48" s="28"/>
      <c r="F48" s="28"/>
      <c r="G48" s="28"/>
      <c r="H48" s="28">
        <v>14</v>
      </c>
      <c r="I48" s="28"/>
      <c r="J48" s="28"/>
      <c r="K48" s="88"/>
    </row>
    <row r="49" spans="2:11" ht="15.75" thickBot="1" x14ac:dyDescent="0.3">
      <c r="B49" s="27">
        <v>56</v>
      </c>
      <c r="C49" s="28">
        <v>5</v>
      </c>
      <c r="D49" s="28"/>
      <c r="E49" s="28"/>
      <c r="F49" s="28"/>
      <c r="G49" s="28"/>
      <c r="H49" s="28"/>
      <c r="I49" s="28"/>
      <c r="J49" s="28">
        <v>92</v>
      </c>
      <c r="K49" s="88"/>
    </row>
    <row r="50" spans="2:11" ht="15.75" thickBot="1" x14ac:dyDescent="0.3">
      <c r="B50" s="27">
        <v>54</v>
      </c>
      <c r="C50" s="28">
        <v>5</v>
      </c>
      <c r="D50" s="28"/>
      <c r="E50" s="28"/>
      <c r="F50" s="28">
        <v>11</v>
      </c>
      <c r="G50" s="28"/>
      <c r="H50" s="28"/>
      <c r="I50" s="28"/>
      <c r="J50" s="28"/>
      <c r="K50" s="88"/>
    </row>
    <row r="51" spans="2:11" ht="15.75" thickBot="1" x14ac:dyDescent="0.3">
      <c r="B51" s="27">
        <v>53</v>
      </c>
      <c r="C51" s="28">
        <v>5</v>
      </c>
      <c r="D51" s="28"/>
      <c r="E51" s="28"/>
      <c r="F51" s="28"/>
      <c r="G51" s="28"/>
      <c r="H51" s="28"/>
      <c r="I51" s="28">
        <v>14</v>
      </c>
      <c r="J51" s="28">
        <v>91</v>
      </c>
      <c r="K51" s="88"/>
    </row>
    <row r="52" spans="2:11" ht="15.75" thickBot="1" x14ac:dyDescent="0.3">
      <c r="B52" s="27">
        <v>51</v>
      </c>
      <c r="C52" s="28">
        <v>5</v>
      </c>
      <c r="D52" s="28"/>
      <c r="E52" s="28"/>
      <c r="F52" s="28"/>
      <c r="G52" s="28"/>
      <c r="H52" s="28"/>
      <c r="I52" s="28"/>
      <c r="J52" s="28">
        <v>90</v>
      </c>
      <c r="K52" s="88"/>
    </row>
    <row r="53" spans="2:11" ht="15.75" thickBot="1" x14ac:dyDescent="0.3">
      <c r="B53" s="27">
        <v>50</v>
      </c>
      <c r="C53" s="28">
        <v>5</v>
      </c>
      <c r="D53" s="28">
        <v>22</v>
      </c>
      <c r="E53" s="28"/>
      <c r="F53" s="28"/>
      <c r="G53" s="28"/>
      <c r="H53" s="28"/>
      <c r="I53" s="28"/>
      <c r="J53" s="28"/>
      <c r="K53" s="88"/>
    </row>
    <row r="54" spans="2:11" ht="15.75" thickBot="1" x14ac:dyDescent="0.3">
      <c r="B54" s="27">
        <v>49</v>
      </c>
      <c r="C54" s="28">
        <v>5</v>
      </c>
      <c r="D54" s="28"/>
      <c r="E54" s="28">
        <v>13</v>
      </c>
      <c r="F54" s="28"/>
      <c r="G54" s="28"/>
      <c r="H54" s="28"/>
      <c r="I54" s="28"/>
      <c r="J54" s="28">
        <v>89</v>
      </c>
      <c r="K54" s="88"/>
    </row>
    <row r="55" spans="2:11" ht="15.75" thickBot="1" x14ac:dyDescent="0.3">
      <c r="B55" s="27">
        <v>47</v>
      </c>
      <c r="C55" s="28">
        <v>5</v>
      </c>
      <c r="D55" s="28"/>
      <c r="E55" s="28"/>
      <c r="F55" s="28"/>
      <c r="G55" s="28">
        <v>16</v>
      </c>
      <c r="H55" s="28"/>
      <c r="I55" s="28"/>
      <c r="J55" s="28"/>
      <c r="K55" s="88"/>
    </row>
    <row r="56" spans="2:11" ht="15.75" thickBot="1" x14ac:dyDescent="0.3">
      <c r="B56" s="27">
        <v>46</v>
      </c>
      <c r="C56" s="28">
        <v>5</v>
      </c>
      <c r="D56" s="28"/>
      <c r="E56" s="28"/>
      <c r="F56" s="28"/>
      <c r="G56" s="28"/>
      <c r="H56" s="28"/>
      <c r="I56" s="28"/>
      <c r="J56" s="28" t="s">
        <v>67</v>
      </c>
      <c r="K56" s="88"/>
    </row>
    <row r="57" spans="2:11" ht="15.75" thickBot="1" x14ac:dyDescent="0.3">
      <c r="B57" s="27">
        <v>44</v>
      </c>
      <c r="C57" s="28">
        <v>5</v>
      </c>
      <c r="D57" s="28"/>
      <c r="E57" s="28"/>
      <c r="F57" s="28"/>
      <c r="G57" s="28"/>
      <c r="H57" s="28"/>
      <c r="I57" s="28"/>
      <c r="J57" s="28">
        <v>86</v>
      </c>
      <c r="K57" s="88"/>
    </row>
    <row r="58" spans="2:11" ht="15.75" thickBot="1" x14ac:dyDescent="0.3">
      <c r="B58" s="27">
        <v>43</v>
      </c>
      <c r="C58" s="28">
        <v>5</v>
      </c>
      <c r="D58" s="28"/>
      <c r="E58" s="28"/>
      <c r="F58" s="28"/>
      <c r="G58" s="28"/>
      <c r="H58" s="28">
        <v>13</v>
      </c>
      <c r="I58" s="28"/>
      <c r="J58" s="28"/>
      <c r="K58" s="88"/>
    </row>
    <row r="59" spans="2:11" ht="15.75" thickBot="1" x14ac:dyDescent="0.3">
      <c r="B59" s="27">
        <v>42</v>
      </c>
      <c r="C59" s="28">
        <v>5</v>
      </c>
      <c r="D59" s="28">
        <v>21</v>
      </c>
      <c r="E59" s="28"/>
      <c r="F59" s="28"/>
      <c r="G59" s="28"/>
      <c r="H59" s="28"/>
      <c r="I59" s="28"/>
      <c r="J59" s="28"/>
      <c r="K59" s="88"/>
    </row>
    <row r="60" spans="2:11" ht="15.75" thickBot="1" x14ac:dyDescent="0.3">
      <c r="B60" s="27">
        <v>41</v>
      </c>
      <c r="C60" s="28">
        <v>5</v>
      </c>
      <c r="D60" s="28"/>
      <c r="E60" s="28"/>
      <c r="F60" s="28"/>
      <c r="G60" s="28"/>
      <c r="H60" s="28"/>
      <c r="I60" s="28"/>
      <c r="J60" s="28">
        <v>85</v>
      </c>
      <c r="K60" s="88"/>
    </row>
    <row r="61" spans="2:11" ht="15.75" thickBot="1" x14ac:dyDescent="0.3">
      <c r="B61" s="27">
        <v>40</v>
      </c>
      <c r="C61" s="28">
        <v>5</v>
      </c>
      <c r="D61" s="28"/>
      <c r="E61" s="28"/>
      <c r="F61" s="28"/>
      <c r="G61" s="28"/>
      <c r="H61" s="28"/>
      <c r="I61" s="28">
        <v>13</v>
      </c>
      <c r="J61" s="28"/>
      <c r="K61" s="89"/>
    </row>
    <row r="62" spans="2:11" ht="15.75" thickBot="1" x14ac:dyDescent="0.3">
      <c r="B62" s="29">
        <v>39</v>
      </c>
      <c r="C62" s="30">
        <v>4</v>
      </c>
      <c r="D62" s="30"/>
      <c r="E62" s="30"/>
      <c r="F62" s="30"/>
      <c r="G62" s="30"/>
      <c r="H62" s="30"/>
      <c r="I62" s="30"/>
      <c r="J62" s="30">
        <v>84</v>
      </c>
      <c r="K62" s="90" t="s">
        <v>68</v>
      </c>
    </row>
    <row r="63" spans="2:11" ht="15.75" thickBot="1" x14ac:dyDescent="0.3">
      <c r="B63" s="29">
        <v>37</v>
      </c>
      <c r="C63" s="30">
        <v>4</v>
      </c>
      <c r="D63" s="30"/>
      <c r="E63" s="30"/>
      <c r="F63" s="30"/>
      <c r="G63" s="30"/>
      <c r="H63" s="30"/>
      <c r="I63" s="30"/>
      <c r="J63" s="30">
        <v>83</v>
      </c>
      <c r="K63" s="91"/>
    </row>
    <row r="64" spans="2:11" ht="15.75" thickBot="1" x14ac:dyDescent="0.3">
      <c r="B64" s="29">
        <v>36</v>
      </c>
      <c r="C64" s="30">
        <v>4</v>
      </c>
      <c r="D64" s="30">
        <v>20</v>
      </c>
      <c r="E64" s="30"/>
      <c r="F64" s="30">
        <v>10</v>
      </c>
      <c r="G64" s="30"/>
      <c r="H64" s="30"/>
      <c r="I64" s="30"/>
      <c r="J64" s="30"/>
      <c r="K64" s="91"/>
    </row>
    <row r="65" spans="2:11" ht="15.75" thickBot="1" x14ac:dyDescent="0.3">
      <c r="B65" s="29">
        <v>35</v>
      </c>
      <c r="C65" s="30">
        <v>4</v>
      </c>
      <c r="D65" s="30"/>
      <c r="E65" s="30"/>
      <c r="F65" s="30"/>
      <c r="G65" s="30">
        <v>15</v>
      </c>
      <c r="H65" s="30"/>
      <c r="I65" s="30"/>
      <c r="J65" s="30">
        <v>82</v>
      </c>
      <c r="K65" s="91"/>
    </row>
    <row r="66" spans="2:11" ht="15.75" thickBot="1" x14ac:dyDescent="0.3">
      <c r="B66" s="29">
        <v>34</v>
      </c>
      <c r="C66" s="30">
        <v>4</v>
      </c>
      <c r="D66" s="30"/>
      <c r="E66" s="30"/>
      <c r="F66" s="30"/>
      <c r="G66" s="30"/>
      <c r="H66" s="30"/>
      <c r="I66" s="30"/>
      <c r="J66" s="30">
        <v>81</v>
      </c>
      <c r="K66" s="91"/>
    </row>
    <row r="67" spans="2:11" ht="15.75" thickBot="1" x14ac:dyDescent="0.3">
      <c r="B67" s="29">
        <v>32</v>
      </c>
      <c r="C67" s="30">
        <v>4</v>
      </c>
      <c r="D67" s="30">
        <v>19</v>
      </c>
      <c r="E67" s="30">
        <v>12</v>
      </c>
      <c r="F67" s="30"/>
      <c r="G67" s="30"/>
      <c r="H67" s="30"/>
      <c r="I67" s="30"/>
      <c r="J67" s="30">
        <v>80</v>
      </c>
      <c r="K67" s="91"/>
    </row>
    <row r="68" spans="2:11" ht="15.75" thickBot="1" x14ac:dyDescent="0.3">
      <c r="B68" s="29">
        <v>29</v>
      </c>
      <c r="C68" s="30">
        <v>4</v>
      </c>
      <c r="D68" s="30"/>
      <c r="E68" s="30"/>
      <c r="F68" s="30"/>
      <c r="G68" s="30"/>
      <c r="H68" s="30"/>
      <c r="I68" s="30">
        <v>12</v>
      </c>
      <c r="J68" s="30">
        <v>79</v>
      </c>
      <c r="K68" s="91"/>
    </row>
    <row r="69" spans="2:11" ht="15.75" thickBot="1" x14ac:dyDescent="0.3">
      <c r="B69" s="29">
        <v>27</v>
      </c>
      <c r="C69" s="30">
        <v>4</v>
      </c>
      <c r="D69" s="30">
        <v>18</v>
      </c>
      <c r="E69" s="30"/>
      <c r="F69" s="30"/>
      <c r="G69" s="30"/>
      <c r="H69" s="30">
        <v>12</v>
      </c>
      <c r="I69" s="30"/>
      <c r="J69" s="30">
        <v>78</v>
      </c>
      <c r="K69" s="91"/>
    </row>
    <row r="70" spans="2:11" ht="15.75" thickBot="1" x14ac:dyDescent="0.3">
      <c r="B70" s="29">
        <v>26</v>
      </c>
      <c r="C70" s="30">
        <v>4</v>
      </c>
      <c r="D70" s="30"/>
      <c r="E70" s="30"/>
      <c r="F70" s="30"/>
      <c r="G70" s="30">
        <v>14</v>
      </c>
      <c r="H70" s="30"/>
      <c r="I70" s="30"/>
      <c r="J70" s="30"/>
      <c r="K70" s="92"/>
    </row>
    <row r="71" spans="2:11" ht="15.75" thickBot="1" x14ac:dyDescent="0.3">
      <c r="B71" s="31">
        <v>25</v>
      </c>
      <c r="C71" s="32">
        <v>3</v>
      </c>
      <c r="D71" s="32"/>
      <c r="E71" s="32"/>
      <c r="F71" s="32"/>
      <c r="G71" s="32"/>
      <c r="H71" s="32"/>
      <c r="I71" s="32"/>
      <c r="J71" s="32">
        <v>77</v>
      </c>
      <c r="K71" s="93" t="s">
        <v>69</v>
      </c>
    </row>
    <row r="72" spans="2:11" ht="15.75" thickBot="1" x14ac:dyDescent="0.3">
      <c r="B72" s="31">
        <v>24</v>
      </c>
      <c r="C72" s="32">
        <v>3</v>
      </c>
      <c r="D72" s="32"/>
      <c r="E72" s="32"/>
      <c r="F72" s="32">
        <v>9</v>
      </c>
      <c r="G72" s="32"/>
      <c r="H72" s="32"/>
      <c r="I72" s="32"/>
      <c r="J72" s="32" t="s">
        <v>70</v>
      </c>
      <c r="K72" s="94"/>
    </row>
    <row r="73" spans="2:11" ht="15.75" thickBot="1" x14ac:dyDescent="0.3">
      <c r="B73" s="31">
        <v>23</v>
      </c>
      <c r="C73" s="32">
        <v>3</v>
      </c>
      <c r="D73" s="32"/>
      <c r="E73" s="32"/>
      <c r="F73" s="32"/>
      <c r="G73" s="32"/>
      <c r="H73" s="32"/>
      <c r="I73" s="32"/>
      <c r="J73" s="32">
        <v>74</v>
      </c>
      <c r="K73" s="94"/>
    </row>
    <row r="74" spans="2:11" ht="15.75" thickBot="1" x14ac:dyDescent="0.3">
      <c r="B74" s="31">
        <v>22</v>
      </c>
      <c r="C74" s="32">
        <v>3</v>
      </c>
      <c r="D74" s="32">
        <v>17</v>
      </c>
      <c r="E74" s="32"/>
      <c r="F74" s="32"/>
      <c r="G74" s="32"/>
      <c r="H74" s="32"/>
      <c r="I74" s="32"/>
      <c r="J74" s="32">
        <v>73</v>
      </c>
      <c r="K74" s="94"/>
    </row>
    <row r="75" spans="2:11" ht="15.75" thickBot="1" x14ac:dyDescent="0.3">
      <c r="B75" s="31">
        <v>20</v>
      </c>
      <c r="C75" s="32">
        <v>3</v>
      </c>
      <c r="D75" s="32"/>
      <c r="E75" s="32"/>
      <c r="F75" s="32"/>
      <c r="G75" s="32">
        <v>13</v>
      </c>
      <c r="H75" s="32"/>
      <c r="I75" s="32">
        <v>11</v>
      </c>
      <c r="J75" s="32">
        <v>72</v>
      </c>
      <c r="K75" s="94"/>
    </row>
    <row r="76" spans="2:11" ht="15.75" thickBot="1" x14ac:dyDescent="0.3">
      <c r="B76" s="31">
        <v>19</v>
      </c>
      <c r="C76" s="32">
        <v>3</v>
      </c>
      <c r="D76" s="32">
        <v>16</v>
      </c>
      <c r="E76" s="32"/>
      <c r="F76" s="32"/>
      <c r="G76" s="32"/>
      <c r="H76" s="32"/>
      <c r="I76" s="32"/>
      <c r="J76" s="32">
        <v>71</v>
      </c>
      <c r="K76" s="94"/>
    </row>
    <row r="77" spans="2:11" ht="15.75" thickBot="1" x14ac:dyDescent="0.3">
      <c r="B77" s="31">
        <v>18</v>
      </c>
      <c r="C77" s="32">
        <v>3</v>
      </c>
      <c r="D77" s="32"/>
      <c r="E77" s="32"/>
      <c r="F77" s="32"/>
      <c r="G77" s="32"/>
      <c r="H77" s="32"/>
      <c r="I77" s="32"/>
      <c r="J77" s="32">
        <v>70</v>
      </c>
      <c r="K77" s="94"/>
    </row>
    <row r="78" spans="2:11" ht="15.75" thickBot="1" x14ac:dyDescent="0.3">
      <c r="B78" s="31">
        <v>17</v>
      </c>
      <c r="C78" s="32">
        <v>3</v>
      </c>
      <c r="D78" s="32"/>
      <c r="E78" s="32">
        <v>11</v>
      </c>
      <c r="F78" s="32"/>
      <c r="G78" s="32"/>
      <c r="H78" s="32"/>
      <c r="I78" s="32"/>
      <c r="J78" s="32">
        <v>69</v>
      </c>
      <c r="K78" s="94"/>
    </row>
    <row r="79" spans="2:11" ht="15.75" thickBot="1" x14ac:dyDescent="0.3">
      <c r="B79" s="31">
        <v>16</v>
      </c>
      <c r="C79" s="32">
        <v>3</v>
      </c>
      <c r="D79" s="32">
        <v>15</v>
      </c>
      <c r="E79" s="32"/>
      <c r="F79" s="32">
        <v>8</v>
      </c>
      <c r="G79" s="32"/>
      <c r="H79" s="32"/>
      <c r="I79" s="32"/>
      <c r="J79" s="32">
        <v>68</v>
      </c>
      <c r="K79" s="94"/>
    </row>
    <row r="80" spans="2:11" ht="15.75" thickBot="1" x14ac:dyDescent="0.3">
      <c r="B80" s="31">
        <v>15</v>
      </c>
      <c r="C80" s="32">
        <v>2</v>
      </c>
      <c r="D80" s="32"/>
      <c r="E80" s="32"/>
      <c r="F80" s="32"/>
      <c r="G80" s="32"/>
      <c r="H80" s="32"/>
      <c r="I80" s="32"/>
      <c r="J80" s="32">
        <v>67</v>
      </c>
      <c r="K80" s="94"/>
    </row>
    <row r="81" spans="2:11" ht="15.75" thickBot="1" x14ac:dyDescent="0.3">
      <c r="B81" s="31">
        <v>14</v>
      </c>
      <c r="C81" s="32">
        <v>2</v>
      </c>
      <c r="D81" s="32"/>
      <c r="E81" s="32"/>
      <c r="F81" s="32"/>
      <c r="G81" s="32"/>
      <c r="H81" s="32">
        <v>11</v>
      </c>
      <c r="I81" s="32"/>
      <c r="J81" s="32"/>
      <c r="K81" s="94"/>
    </row>
    <row r="82" spans="2:11" ht="15.75" thickBot="1" x14ac:dyDescent="0.3">
      <c r="B82" s="31">
        <v>13</v>
      </c>
      <c r="C82" s="32">
        <v>2</v>
      </c>
      <c r="D82" s="32"/>
      <c r="E82" s="32"/>
      <c r="F82" s="32"/>
      <c r="G82" s="32">
        <v>12</v>
      </c>
      <c r="H82" s="32"/>
      <c r="I82" s="32"/>
      <c r="J82" s="32">
        <v>66</v>
      </c>
      <c r="K82" s="94"/>
    </row>
    <row r="83" spans="2:11" ht="15.75" thickBot="1" x14ac:dyDescent="0.3">
      <c r="B83" s="31">
        <v>12</v>
      </c>
      <c r="C83" s="32">
        <v>2</v>
      </c>
      <c r="D83" s="32">
        <v>14</v>
      </c>
      <c r="E83" s="32"/>
      <c r="F83" s="32"/>
      <c r="G83" s="32"/>
      <c r="H83" s="32"/>
      <c r="I83" s="32">
        <v>10</v>
      </c>
      <c r="J83" s="32"/>
      <c r="K83" s="94"/>
    </row>
    <row r="84" spans="2:11" ht="15.75" thickBot="1" x14ac:dyDescent="0.3">
      <c r="B84" s="31">
        <v>11</v>
      </c>
      <c r="C84" s="32">
        <v>2</v>
      </c>
      <c r="D84" s="32"/>
      <c r="E84" s="32"/>
      <c r="F84" s="32"/>
      <c r="G84" s="32"/>
      <c r="H84" s="32"/>
      <c r="I84" s="32"/>
      <c r="J84" s="32" t="s">
        <v>71</v>
      </c>
      <c r="K84" s="94"/>
    </row>
    <row r="85" spans="2:11" ht="15.75" thickBot="1" x14ac:dyDescent="0.3">
      <c r="B85" s="31">
        <v>10</v>
      </c>
      <c r="C85" s="32">
        <v>2</v>
      </c>
      <c r="D85" s="32"/>
      <c r="E85" s="32"/>
      <c r="F85" s="32"/>
      <c r="G85" s="32"/>
      <c r="H85" s="32"/>
      <c r="I85" s="32"/>
      <c r="J85" s="32" t="s">
        <v>72</v>
      </c>
      <c r="K85" s="94"/>
    </row>
    <row r="86" spans="2:11" ht="15.75" thickBot="1" x14ac:dyDescent="0.3">
      <c r="B86" s="31">
        <v>9</v>
      </c>
      <c r="C86" s="32">
        <v>2</v>
      </c>
      <c r="D86" s="32"/>
      <c r="E86" s="32">
        <v>10</v>
      </c>
      <c r="F86" s="32">
        <v>7</v>
      </c>
      <c r="G86" s="32">
        <v>11</v>
      </c>
      <c r="H86" s="32"/>
      <c r="I86" s="32"/>
      <c r="J86" s="32">
        <v>61</v>
      </c>
      <c r="K86" s="94"/>
    </row>
    <row r="87" spans="2:11" ht="15.75" thickBot="1" x14ac:dyDescent="0.3">
      <c r="B87" s="31">
        <v>8</v>
      </c>
      <c r="C87" s="32">
        <v>2</v>
      </c>
      <c r="D87" s="32">
        <v>13</v>
      </c>
      <c r="E87" s="32"/>
      <c r="F87" s="32"/>
      <c r="G87" s="32"/>
      <c r="H87" s="32"/>
      <c r="I87" s="32"/>
      <c r="J87" s="32">
        <v>60</v>
      </c>
      <c r="K87" s="94"/>
    </row>
    <row r="88" spans="2:11" ht="15.75" thickBot="1" x14ac:dyDescent="0.3">
      <c r="B88" s="31">
        <v>7</v>
      </c>
      <c r="C88" s="32">
        <v>2</v>
      </c>
      <c r="D88" s="32"/>
      <c r="E88" s="32"/>
      <c r="F88" s="32"/>
      <c r="G88" s="32">
        <v>10</v>
      </c>
      <c r="H88" s="32">
        <v>10</v>
      </c>
      <c r="I88" s="32">
        <v>9</v>
      </c>
      <c r="J88" s="32">
        <v>59</v>
      </c>
      <c r="K88" s="95"/>
    </row>
    <row r="89" spans="2:11" ht="15.75" thickBot="1" x14ac:dyDescent="0.3">
      <c r="B89" s="33">
        <v>6</v>
      </c>
      <c r="C89" s="34">
        <v>1</v>
      </c>
      <c r="D89" s="34"/>
      <c r="E89" s="34">
        <v>9</v>
      </c>
      <c r="F89" s="34"/>
      <c r="G89" s="34"/>
      <c r="H89" s="34"/>
      <c r="I89" s="34"/>
      <c r="J89" s="34" t="s">
        <v>73</v>
      </c>
      <c r="K89" s="71" t="s">
        <v>74</v>
      </c>
    </row>
    <row r="90" spans="2:11" ht="15.75" thickBot="1" x14ac:dyDescent="0.3">
      <c r="B90" s="33">
        <v>5</v>
      </c>
      <c r="C90" s="34">
        <v>1</v>
      </c>
      <c r="D90" s="34"/>
      <c r="E90" s="34"/>
      <c r="F90" s="34">
        <v>6</v>
      </c>
      <c r="G90" s="34"/>
      <c r="H90" s="34"/>
      <c r="I90" s="34"/>
      <c r="J90" s="34" t="s">
        <v>75</v>
      </c>
      <c r="K90" s="72"/>
    </row>
    <row r="91" spans="2:11" ht="15.75" thickBot="1" x14ac:dyDescent="0.3">
      <c r="B91" s="33">
        <v>4</v>
      </c>
      <c r="C91" s="34">
        <v>1</v>
      </c>
      <c r="D91" s="34">
        <v>12</v>
      </c>
      <c r="E91" s="34" t="s">
        <v>76</v>
      </c>
      <c r="F91" s="34"/>
      <c r="G91" s="34">
        <v>9</v>
      </c>
      <c r="H91" s="34"/>
      <c r="I91" s="34">
        <v>8</v>
      </c>
      <c r="J91" s="34" t="s">
        <v>77</v>
      </c>
      <c r="K91" s="72"/>
    </row>
    <row r="92" spans="2:11" ht="15.75" thickBot="1" x14ac:dyDescent="0.3">
      <c r="B92" s="33">
        <v>3</v>
      </c>
      <c r="C92" s="34">
        <v>1</v>
      </c>
      <c r="D92" s="34">
        <v>11</v>
      </c>
      <c r="E92" s="34"/>
      <c r="F92" s="34">
        <v>5</v>
      </c>
      <c r="G92" s="34"/>
      <c r="H92" s="34">
        <v>9</v>
      </c>
      <c r="I92" s="34"/>
      <c r="J92" s="34" t="s">
        <v>78</v>
      </c>
      <c r="K92" s="72"/>
    </row>
    <row r="93" spans="2:11" ht="15.75" thickBot="1" x14ac:dyDescent="0.3">
      <c r="B93" s="33">
        <v>2</v>
      </c>
      <c r="C93" s="34">
        <v>1</v>
      </c>
      <c r="D93" s="34">
        <v>10</v>
      </c>
      <c r="E93" s="34">
        <v>6</v>
      </c>
      <c r="F93" s="34"/>
      <c r="G93" s="34">
        <v>8</v>
      </c>
      <c r="H93" s="34"/>
      <c r="I93" s="34"/>
      <c r="J93" s="34" t="s">
        <v>79</v>
      </c>
      <c r="K93" s="72"/>
    </row>
    <row r="94" spans="2:11" ht="15.75" thickBot="1" x14ac:dyDescent="0.3">
      <c r="B94" s="33">
        <v>1</v>
      </c>
      <c r="C94" s="34">
        <v>1</v>
      </c>
      <c r="D94" s="34"/>
      <c r="E94" s="34"/>
      <c r="F94" s="34"/>
      <c r="G94" s="34">
        <v>7</v>
      </c>
      <c r="H94" s="34">
        <v>8</v>
      </c>
      <c r="I94" s="34" t="s">
        <v>80</v>
      </c>
      <c r="J94" s="34" t="s">
        <v>81</v>
      </c>
      <c r="K94" s="72"/>
    </row>
    <row r="95" spans="2:11" ht="15.75" thickBot="1" x14ac:dyDescent="0.3">
      <c r="B95" s="33">
        <v>0</v>
      </c>
      <c r="C95" s="34">
        <v>1</v>
      </c>
      <c r="D95" s="34"/>
      <c r="E95" s="34" t="s">
        <v>82</v>
      </c>
      <c r="F95" s="34"/>
      <c r="G95" s="34"/>
      <c r="H95" s="34"/>
      <c r="I95" s="34"/>
      <c r="J95" s="34" t="s">
        <v>83</v>
      </c>
      <c r="K95" s="72"/>
    </row>
    <row r="96" spans="2:11" ht="15.75" thickBot="1" x14ac:dyDescent="0.3">
      <c r="B96" s="33">
        <v>0.7</v>
      </c>
      <c r="C96" s="34">
        <v>1</v>
      </c>
      <c r="D96" s="34"/>
      <c r="E96" s="34"/>
      <c r="F96" s="34">
        <v>4</v>
      </c>
      <c r="G96" s="34"/>
      <c r="H96" s="34"/>
      <c r="I96" s="34"/>
      <c r="J96" s="34"/>
      <c r="K96" s="72"/>
    </row>
    <row r="97" spans="2:11" ht="15.75" thickBot="1" x14ac:dyDescent="0.3">
      <c r="B97" s="33">
        <v>0.5</v>
      </c>
      <c r="C97" s="34">
        <v>1</v>
      </c>
      <c r="D97" s="34"/>
      <c r="E97" s="34"/>
      <c r="F97" s="34"/>
      <c r="G97" s="34"/>
      <c r="H97" s="34">
        <v>7</v>
      </c>
      <c r="I97" s="34">
        <v>5</v>
      </c>
      <c r="J97" s="34"/>
      <c r="K97" s="72"/>
    </row>
    <row r="98" spans="2:11" ht="15.75" thickBot="1" x14ac:dyDescent="0.3">
      <c r="B98" s="33">
        <v>0.2</v>
      </c>
      <c r="C98" s="34">
        <v>1</v>
      </c>
      <c r="D98" s="34">
        <v>9</v>
      </c>
      <c r="E98" s="34">
        <v>1</v>
      </c>
      <c r="F98" s="34"/>
      <c r="G98" s="34">
        <v>6</v>
      </c>
      <c r="H98" s="34"/>
      <c r="I98" s="34"/>
      <c r="J98" s="34">
        <v>32</v>
      </c>
      <c r="K98" s="73"/>
    </row>
  </sheetData>
  <sheetProtection algorithmName="SHA-512" hashValue="kP1Un0sKHELP4faZ3VrwwF7sf28EItVH2EoslR8/gk5mkO94l8Q2w+MQpl8ebO4uplX5UQXEekWnIOeK7RqvEQ==" saltValue="AHb6fxBg9WIAUBht/HfPPQ==" spinCount="100000" sheet="1" scenarios="1"/>
  <mergeCells count="9">
    <mergeCell ref="K89:K98"/>
    <mergeCell ref="B6:E6"/>
    <mergeCell ref="H6:K6"/>
    <mergeCell ref="K9:K11"/>
    <mergeCell ref="K12:K33"/>
    <mergeCell ref="K34:K45"/>
    <mergeCell ref="K46:K61"/>
    <mergeCell ref="K62:K70"/>
    <mergeCell ref="K71:K88"/>
  </mergeCells>
  <pageMargins left="0.7" right="0.7" top="0.75" bottom="0.75" header="0.3" footer="0.3"/>
  <pageSetup paperSize="256" scale="68" fitToHeight="0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K85"/>
  <sheetViews>
    <sheetView workbookViewId="0">
      <selection activeCell="AI12" sqref="AI12"/>
    </sheetView>
  </sheetViews>
  <sheetFormatPr baseColWidth="10" defaultColWidth="1.7109375" defaultRowHeight="15" x14ac:dyDescent="0.25"/>
  <cols>
    <col min="2" max="2" width="4.42578125" customWidth="1"/>
    <col min="3" max="3" width="3.7109375" customWidth="1"/>
    <col min="4" max="4" width="9" customWidth="1"/>
    <col min="5" max="5" width="7.28515625" customWidth="1"/>
    <col min="6" max="6" width="7.85546875" customWidth="1"/>
    <col min="7" max="7" width="8.42578125" customWidth="1"/>
    <col min="8" max="8" width="7.42578125" customWidth="1"/>
    <col min="9" max="9" width="8.42578125" customWidth="1"/>
    <col min="10" max="10" width="10.7109375" customWidth="1"/>
    <col min="11" max="11" width="16.7109375" bestFit="1" customWidth="1"/>
  </cols>
  <sheetData>
    <row r="2" spans="2:11" ht="21" x14ac:dyDescent="0.35">
      <c r="D2" s="37" t="str">
        <f>RESULTADOS!I10</f>
        <v>I</v>
      </c>
      <c r="E2" s="37" t="str">
        <f>RESULTADOS!J10</f>
        <v>II</v>
      </c>
      <c r="F2" s="37" t="str">
        <f>RESULTADOS!K10</f>
        <v>III</v>
      </c>
      <c r="G2" s="37" t="str">
        <f>RESULTADOS!L10</f>
        <v>IV</v>
      </c>
      <c r="H2" s="37" t="str">
        <f>RESULTADOS!M10</f>
        <v>V</v>
      </c>
      <c r="I2" s="37" t="str">
        <f>RESULTADOS!N10</f>
        <v>VI</v>
      </c>
      <c r="J2" s="37" t="str">
        <f>RESULTADOS!O10</f>
        <v>TOTAL</v>
      </c>
    </row>
    <row r="3" spans="2:11" ht="21" x14ac:dyDescent="0.35">
      <c r="C3" s="38" t="s">
        <v>118</v>
      </c>
      <c r="D3" s="36">
        <f>RESULTADOS!I11</f>
        <v>32</v>
      </c>
      <c r="E3" s="36">
        <f>RESULTADOS!J11</f>
        <v>20</v>
      </c>
      <c r="F3" s="36">
        <f>RESULTADOS!K11</f>
        <v>16</v>
      </c>
      <c r="G3" s="36">
        <f>RESULTADOS!L11</f>
        <v>24</v>
      </c>
      <c r="H3" s="36">
        <f>RESULTADOS!M11</f>
        <v>20</v>
      </c>
      <c r="I3" s="36">
        <f>RESULTADOS!N11</f>
        <v>20</v>
      </c>
      <c r="J3" s="36">
        <f>RESULTADOS!O11</f>
        <v>132</v>
      </c>
    </row>
    <row r="4" spans="2:11" ht="21" x14ac:dyDescent="0.35">
      <c r="C4" s="39" t="s">
        <v>119</v>
      </c>
      <c r="D4" s="35">
        <f>RESULTADOS!I12</f>
        <v>4</v>
      </c>
      <c r="E4" s="35">
        <f>RESULTADOS!J12</f>
        <v>0</v>
      </c>
      <c r="F4" s="35">
        <f>RESULTADOS!K12</f>
        <v>0</v>
      </c>
      <c r="G4" s="35">
        <f>RESULTADOS!L12</f>
        <v>0</v>
      </c>
      <c r="H4" s="35">
        <f>RESULTADOS!M12</f>
        <v>0</v>
      </c>
      <c r="I4" s="35">
        <f>RESULTADOS!N12</f>
        <v>0</v>
      </c>
      <c r="J4" s="35">
        <f>RESULTADOS!O12</f>
        <v>4</v>
      </c>
    </row>
    <row r="6" spans="2:11" x14ac:dyDescent="0.25">
      <c r="B6" s="74" t="s">
        <v>117</v>
      </c>
      <c r="C6" s="74"/>
      <c r="D6" s="74"/>
      <c r="E6" s="74"/>
      <c r="F6" s="18" t="s">
        <v>116</v>
      </c>
      <c r="G6" s="18"/>
      <c r="H6" s="75" t="str">
        <f>CUESTIONARIO!B3</f>
        <v>Isaias HURTADO SANTA CRUZ</v>
      </c>
      <c r="I6" s="76"/>
      <c r="J6" s="76"/>
      <c r="K6" s="77"/>
    </row>
    <row r="7" spans="2:11" ht="15.75" thickBot="1" x14ac:dyDescent="0.3"/>
    <row r="8" spans="2:11" ht="15.75" thickBot="1" x14ac:dyDescent="0.3">
      <c r="B8" s="40" t="s">
        <v>45</v>
      </c>
      <c r="C8" s="41" t="s">
        <v>46</v>
      </c>
      <c r="D8" s="41" t="s">
        <v>47</v>
      </c>
      <c r="E8" s="41" t="s">
        <v>48</v>
      </c>
      <c r="F8" s="41" t="s">
        <v>49</v>
      </c>
      <c r="G8" s="41" t="s">
        <v>50</v>
      </c>
      <c r="H8" s="41" t="s">
        <v>51</v>
      </c>
      <c r="I8" s="41" t="s">
        <v>52</v>
      </c>
      <c r="J8" s="41" t="s">
        <v>37</v>
      </c>
      <c r="K8" s="41" t="s">
        <v>53</v>
      </c>
    </row>
    <row r="9" spans="2:11" ht="15.75" thickBot="1" x14ac:dyDescent="0.3">
      <c r="B9" s="21">
        <v>99</v>
      </c>
      <c r="C9" s="22">
        <v>9</v>
      </c>
      <c r="D9" s="22" t="s">
        <v>85</v>
      </c>
      <c r="E9" s="22">
        <v>20</v>
      </c>
      <c r="F9" s="22">
        <v>16</v>
      </c>
      <c r="G9" s="22" t="s">
        <v>86</v>
      </c>
      <c r="H9" s="22">
        <v>20</v>
      </c>
      <c r="I9" s="22" t="s">
        <v>87</v>
      </c>
      <c r="J9" s="22" t="s">
        <v>88</v>
      </c>
      <c r="K9" s="78" t="s">
        <v>57</v>
      </c>
    </row>
    <row r="10" spans="2:11" ht="15.75" thickBot="1" x14ac:dyDescent="0.3">
      <c r="B10" s="21">
        <v>98</v>
      </c>
      <c r="C10" s="22">
        <v>9</v>
      </c>
      <c r="D10" s="22"/>
      <c r="E10" s="22">
        <v>19</v>
      </c>
      <c r="F10" s="22"/>
      <c r="G10" s="22">
        <v>24</v>
      </c>
      <c r="H10" s="22">
        <v>19</v>
      </c>
      <c r="I10" s="22"/>
      <c r="J10" s="22" t="s">
        <v>89</v>
      </c>
      <c r="K10" s="79"/>
    </row>
    <row r="11" spans="2:11" ht="15.75" thickBot="1" x14ac:dyDescent="0.3">
      <c r="B11" s="21">
        <v>97</v>
      </c>
      <c r="C11" s="22">
        <v>9</v>
      </c>
      <c r="D11" s="22">
        <v>30</v>
      </c>
      <c r="E11" s="22"/>
      <c r="F11" s="22"/>
      <c r="G11" s="22"/>
      <c r="H11" s="22"/>
      <c r="I11" s="22"/>
      <c r="J11" s="22" t="s">
        <v>90</v>
      </c>
      <c r="K11" s="80"/>
    </row>
    <row r="12" spans="2:11" ht="15.75" thickBot="1" x14ac:dyDescent="0.3">
      <c r="B12" s="23">
        <v>96</v>
      </c>
      <c r="C12" s="24">
        <v>8</v>
      </c>
      <c r="D12" s="24"/>
      <c r="E12" s="24"/>
      <c r="F12" s="24">
        <v>15</v>
      </c>
      <c r="G12" s="24">
        <v>23</v>
      </c>
      <c r="H12" s="24"/>
      <c r="I12" s="24"/>
      <c r="J12" s="24">
        <v>121</v>
      </c>
      <c r="K12" s="81" t="s">
        <v>60</v>
      </c>
    </row>
    <row r="13" spans="2:11" ht="15.75" thickBot="1" x14ac:dyDescent="0.3">
      <c r="B13" s="23">
        <v>95</v>
      </c>
      <c r="C13" s="24">
        <v>8</v>
      </c>
      <c r="D13" s="24">
        <v>29</v>
      </c>
      <c r="E13" s="24">
        <v>18</v>
      </c>
      <c r="F13" s="24"/>
      <c r="G13" s="24"/>
      <c r="H13" s="24"/>
      <c r="I13" s="24"/>
      <c r="J13" s="24">
        <v>120</v>
      </c>
      <c r="K13" s="82"/>
    </row>
    <row r="14" spans="2:11" ht="15.75" thickBot="1" x14ac:dyDescent="0.3">
      <c r="B14" s="23">
        <v>94</v>
      </c>
      <c r="C14" s="24">
        <v>8</v>
      </c>
      <c r="D14" s="24"/>
      <c r="E14" s="24"/>
      <c r="F14" s="24"/>
      <c r="G14" s="24">
        <v>22</v>
      </c>
      <c r="H14" s="24">
        <v>18</v>
      </c>
      <c r="I14" s="24">
        <v>17</v>
      </c>
      <c r="J14" s="24" t="s">
        <v>91</v>
      </c>
      <c r="K14" s="82"/>
    </row>
    <row r="15" spans="2:11" ht="15.75" thickBot="1" x14ac:dyDescent="0.3">
      <c r="B15" s="23">
        <v>93</v>
      </c>
      <c r="C15" s="24">
        <v>8</v>
      </c>
      <c r="D15" s="24"/>
      <c r="E15" s="24"/>
      <c r="F15" s="24"/>
      <c r="G15" s="24"/>
      <c r="H15" s="24"/>
      <c r="I15" s="24"/>
      <c r="J15" s="24" t="s">
        <v>92</v>
      </c>
      <c r="K15" s="82"/>
    </row>
    <row r="16" spans="2:11" ht="15.75" thickBot="1" x14ac:dyDescent="0.3">
      <c r="B16" s="23">
        <v>91</v>
      </c>
      <c r="C16" s="24">
        <v>8</v>
      </c>
      <c r="D16" s="24">
        <v>28</v>
      </c>
      <c r="E16" s="24"/>
      <c r="F16" s="24"/>
      <c r="G16" s="24">
        <v>21</v>
      </c>
      <c r="H16" s="24"/>
      <c r="I16" s="24"/>
      <c r="J16" s="24">
        <v>114</v>
      </c>
      <c r="K16" s="82"/>
    </row>
    <row r="17" spans="2:11" ht="15.75" thickBot="1" x14ac:dyDescent="0.3">
      <c r="B17" s="23">
        <v>90</v>
      </c>
      <c r="C17" s="24">
        <v>8</v>
      </c>
      <c r="D17" s="24"/>
      <c r="E17" s="24">
        <v>17</v>
      </c>
      <c r="F17" s="24">
        <v>14</v>
      </c>
      <c r="G17" s="24"/>
      <c r="H17" s="24"/>
      <c r="I17" s="24"/>
      <c r="J17" s="24"/>
      <c r="K17" s="82"/>
    </row>
    <row r="18" spans="2:11" ht="15.75" thickBot="1" x14ac:dyDescent="0.3">
      <c r="B18" s="23">
        <v>89</v>
      </c>
      <c r="C18" s="24">
        <v>7</v>
      </c>
      <c r="D18" s="24"/>
      <c r="E18" s="24"/>
      <c r="F18" s="24"/>
      <c r="G18" s="24"/>
      <c r="H18" s="24">
        <v>17</v>
      </c>
      <c r="I18" s="24"/>
      <c r="J18" s="24" t="s">
        <v>93</v>
      </c>
      <c r="K18" s="82"/>
    </row>
    <row r="19" spans="2:11" ht="15.75" thickBot="1" x14ac:dyDescent="0.3">
      <c r="B19" s="23">
        <v>88</v>
      </c>
      <c r="C19" s="24">
        <v>7</v>
      </c>
      <c r="D19" s="24"/>
      <c r="E19" s="24"/>
      <c r="F19" s="24"/>
      <c r="G19" s="24"/>
      <c r="H19" s="24"/>
      <c r="I19" s="24"/>
      <c r="J19" s="24">
        <v>111</v>
      </c>
      <c r="K19" s="82"/>
    </row>
    <row r="20" spans="2:11" ht="15.75" thickBot="1" x14ac:dyDescent="0.3">
      <c r="B20" s="23">
        <v>87</v>
      </c>
      <c r="C20" s="24">
        <v>7</v>
      </c>
      <c r="D20" s="24"/>
      <c r="E20" s="24"/>
      <c r="F20" s="24"/>
      <c r="G20" s="24"/>
      <c r="H20" s="24"/>
      <c r="I20" s="24"/>
      <c r="J20" s="24" t="s">
        <v>94</v>
      </c>
      <c r="K20" s="82"/>
    </row>
    <row r="21" spans="2:11" ht="15.75" thickBot="1" x14ac:dyDescent="0.3">
      <c r="B21" s="23">
        <v>86</v>
      </c>
      <c r="C21" s="24">
        <v>7</v>
      </c>
      <c r="D21" s="24">
        <v>27</v>
      </c>
      <c r="E21" s="24"/>
      <c r="F21" s="24"/>
      <c r="G21" s="24">
        <v>20</v>
      </c>
      <c r="H21" s="24"/>
      <c r="I21" s="24"/>
      <c r="J21" s="24"/>
      <c r="K21" s="82"/>
    </row>
    <row r="22" spans="2:11" ht="15.75" thickBot="1" x14ac:dyDescent="0.3">
      <c r="B22" s="23">
        <v>85</v>
      </c>
      <c r="C22" s="24">
        <v>7</v>
      </c>
      <c r="D22" s="24"/>
      <c r="E22" s="24"/>
      <c r="F22" s="24"/>
      <c r="G22" s="24"/>
      <c r="H22" s="24"/>
      <c r="I22" s="24">
        <v>16</v>
      </c>
      <c r="J22" s="24">
        <v>108</v>
      </c>
      <c r="K22" s="82"/>
    </row>
    <row r="23" spans="2:11" ht="15.75" thickBot="1" x14ac:dyDescent="0.3">
      <c r="B23" s="23">
        <v>83</v>
      </c>
      <c r="C23" s="24">
        <v>7</v>
      </c>
      <c r="D23" s="24"/>
      <c r="E23" s="24"/>
      <c r="F23" s="24"/>
      <c r="G23" s="24"/>
      <c r="H23" s="24">
        <v>16</v>
      </c>
      <c r="I23" s="24"/>
      <c r="J23" s="24">
        <v>107</v>
      </c>
      <c r="K23" s="82"/>
    </row>
    <row r="24" spans="2:11" ht="15.75" thickBot="1" x14ac:dyDescent="0.3">
      <c r="B24" s="23">
        <v>82</v>
      </c>
      <c r="C24" s="24">
        <v>7</v>
      </c>
      <c r="D24" s="24"/>
      <c r="E24" s="24"/>
      <c r="F24" s="24"/>
      <c r="G24" s="24"/>
      <c r="H24" s="24"/>
      <c r="I24" s="24"/>
      <c r="J24" s="24">
        <v>106</v>
      </c>
      <c r="K24" s="82"/>
    </row>
    <row r="25" spans="2:11" ht="15.75" thickBot="1" x14ac:dyDescent="0.3">
      <c r="B25" s="23">
        <v>81</v>
      </c>
      <c r="C25" s="24">
        <v>7</v>
      </c>
      <c r="D25" s="24"/>
      <c r="E25" s="24">
        <v>16</v>
      </c>
      <c r="F25" s="24"/>
      <c r="G25" s="24"/>
      <c r="H25" s="24"/>
      <c r="I25" s="24"/>
      <c r="J25" s="24"/>
      <c r="K25" s="82"/>
    </row>
    <row r="26" spans="2:11" ht="15.75" thickBot="1" x14ac:dyDescent="0.3">
      <c r="B26" s="23">
        <v>80</v>
      </c>
      <c r="C26" s="24">
        <v>7</v>
      </c>
      <c r="D26" s="24"/>
      <c r="E26" s="24"/>
      <c r="F26" s="24">
        <v>13</v>
      </c>
      <c r="G26" s="24"/>
      <c r="H26" s="24"/>
      <c r="I26" s="24"/>
      <c r="J26" s="24">
        <v>105</v>
      </c>
      <c r="K26" s="82"/>
    </row>
    <row r="27" spans="2:11" ht="15.75" thickBot="1" x14ac:dyDescent="0.3">
      <c r="B27" s="23">
        <v>78</v>
      </c>
      <c r="C27" s="24">
        <v>7</v>
      </c>
      <c r="D27" s="24">
        <v>26</v>
      </c>
      <c r="E27" s="24"/>
      <c r="F27" s="24"/>
      <c r="G27" s="24">
        <v>19</v>
      </c>
      <c r="H27" s="24"/>
      <c r="I27" s="24"/>
      <c r="J27" s="24"/>
      <c r="K27" s="82"/>
    </row>
    <row r="28" spans="2:11" ht="15.75" thickBot="1" x14ac:dyDescent="0.3">
      <c r="B28" s="23">
        <v>77</v>
      </c>
      <c r="C28" s="24">
        <v>7</v>
      </c>
      <c r="D28" s="24"/>
      <c r="E28" s="24"/>
      <c r="F28" s="24"/>
      <c r="G28" s="24"/>
      <c r="H28" s="24"/>
      <c r="I28" s="24"/>
      <c r="J28" s="24">
        <v>104</v>
      </c>
      <c r="K28" s="83"/>
    </row>
    <row r="29" spans="2:11" ht="15.75" thickBot="1" x14ac:dyDescent="0.3">
      <c r="B29" s="25">
        <v>74</v>
      </c>
      <c r="C29" s="26">
        <v>6</v>
      </c>
      <c r="D29" s="26"/>
      <c r="E29" s="26"/>
      <c r="F29" s="26"/>
      <c r="G29" s="26"/>
      <c r="H29" s="26">
        <v>15</v>
      </c>
      <c r="I29" s="26"/>
      <c r="J29" s="26">
        <v>103</v>
      </c>
      <c r="K29" s="84" t="s">
        <v>64</v>
      </c>
    </row>
    <row r="30" spans="2:11" ht="15.75" thickBot="1" x14ac:dyDescent="0.3">
      <c r="B30" s="25">
        <v>73</v>
      </c>
      <c r="C30" s="26">
        <v>6</v>
      </c>
      <c r="D30" s="26"/>
      <c r="E30" s="26"/>
      <c r="F30" s="26"/>
      <c r="G30" s="26"/>
      <c r="H30" s="26"/>
      <c r="I30" s="26">
        <v>15</v>
      </c>
      <c r="J30" s="26" t="s">
        <v>95</v>
      </c>
      <c r="K30" s="85"/>
    </row>
    <row r="31" spans="2:11" ht="15.75" thickBot="1" x14ac:dyDescent="0.3">
      <c r="B31" s="25">
        <v>70</v>
      </c>
      <c r="C31" s="26">
        <v>6</v>
      </c>
      <c r="D31" s="26"/>
      <c r="E31" s="26"/>
      <c r="F31" s="26"/>
      <c r="G31" s="26">
        <v>18</v>
      </c>
      <c r="H31" s="26"/>
      <c r="I31" s="26"/>
      <c r="J31" s="26">
        <v>100</v>
      </c>
      <c r="K31" s="85"/>
    </row>
    <row r="32" spans="2:11" ht="15.75" thickBot="1" x14ac:dyDescent="0.3">
      <c r="B32" s="25">
        <v>68</v>
      </c>
      <c r="C32" s="26">
        <v>6</v>
      </c>
      <c r="D32" s="26">
        <v>25</v>
      </c>
      <c r="E32" s="26"/>
      <c r="F32" s="26"/>
      <c r="G32" s="26"/>
      <c r="H32" s="26"/>
      <c r="I32" s="26"/>
      <c r="J32" s="26"/>
      <c r="K32" s="85"/>
    </row>
    <row r="33" spans="2:11" ht="15.75" thickBot="1" x14ac:dyDescent="0.3">
      <c r="B33" s="25">
        <v>67</v>
      </c>
      <c r="C33" s="26">
        <v>6</v>
      </c>
      <c r="D33" s="26"/>
      <c r="E33" s="26">
        <v>15</v>
      </c>
      <c r="F33" s="26"/>
      <c r="G33" s="26"/>
      <c r="H33" s="26"/>
      <c r="I33" s="26"/>
      <c r="J33" s="26">
        <v>99</v>
      </c>
      <c r="K33" s="85"/>
    </row>
    <row r="34" spans="2:11" ht="15.75" thickBot="1" x14ac:dyDescent="0.3">
      <c r="B34" s="25">
        <v>66</v>
      </c>
      <c r="C34" s="26">
        <v>6</v>
      </c>
      <c r="D34" s="26"/>
      <c r="E34" s="26"/>
      <c r="F34" s="26"/>
      <c r="G34" s="26"/>
      <c r="H34" s="26"/>
      <c r="I34" s="26"/>
      <c r="J34" s="26">
        <v>98</v>
      </c>
      <c r="K34" s="85"/>
    </row>
    <row r="35" spans="2:11" ht="15.75" thickBot="1" x14ac:dyDescent="0.3">
      <c r="B35" s="25">
        <v>65</v>
      </c>
      <c r="C35" s="26">
        <v>6</v>
      </c>
      <c r="D35" s="26"/>
      <c r="E35" s="26"/>
      <c r="F35" s="26">
        <v>12</v>
      </c>
      <c r="G35" s="26"/>
      <c r="H35" s="26"/>
      <c r="I35" s="26"/>
      <c r="J35" s="26"/>
      <c r="K35" s="85"/>
    </row>
    <row r="36" spans="2:11" ht="15.75" thickBot="1" x14ac:dyDescent="0.3">
      <c r="B36" s="25">
        <v>64</v>
      </c>
      <c r="C36" s="26">
        <v>6</v>
      </c>
      <c r="D36" s="26"/>
      <c r="E36" s="26"/>
      <c r="F36" s="26"/>
      <c r="G36" s="26"/>
      <c r="H36" s="26"/>
      <c r="I36" s="26"/>
      <c r="J36" s="26">
        <v>97</v>
      </c>
      <c r="K36" s="85"/>
    </row>
    <row r="37" spans="2:11" ht="15.75" thickBot="1" x14ac:dyDescent="0.3">
      <c r="B37" s="25">
        <v>61</v>
      </c>
      <c r="C37" s="26">
        <v>6</v>
      </c>
      <c r="D37" s="26"/>
      <c r="E37" s="26"/>
      <c r="F37" s="26"/>
      <c r="G37" s="26">
        <v>17</v>
      </c>
      <c r="H37" s="26"/>
      <c r="I37" s="26">
        <v>14</v>
      </c>
      <c r="J37" s="26">
        <v>96</v>
      </c>
      <c r="K37" s="86"/>
    </row>
    <row r="38" spans="2:11" ht="15.75" thickBot="1" x14ac:dyDescent="0.3">
      <c r="B38" s="27">
        <v>60</v>
      </c>
      <c r="C38" s="28">
        <v>5</v>
      </c>
      <c r="D38" s="28"/>
      <c r="E38" s="28"/>
      <c r="F38" s="28"/>
      <c r="G38" s="28"/>
      <c r="H38" s="28">
        <v>14</v>
      </c>
      <c r="I38" s="28"/>
      <c r="J38" s="28"/>
      <c r="K38" s="87" t="s">
        <v>66</v>
      </c>
    </row>
    <row r="39" spans="2:11" ht="15.75" thickBot="1" x14ac:dyDescent="0.3">
      <c r="B39" s="27">
        <v>59</v>
      </c>
      <c r="C39" s="28">
        <v>5</v>
      </c>
      <c r="D39" s="28"/>
      <c r="E39" s="28"/>
      <c r="F39" s="28"/>
      <c r="G39" s="28"/>
      <c r="H39" s="28"/>
      <c r="I39" s="28"/>
      <c r="J39" s="28">
        <v>95</v>
      </c>
      <c r="K39" s="88"/>
    </row>
    <row r="40" spans="2:11" ht="15.75" thickBot="1" x14ac:dyDescent="0.3">
      <c r="B40" s="27">
        <v>58</v>
      </c>
      <c r="C40" s="28">
        <v>5</v>
      </c>
      <c r="D40" s="28">
        <v>24</v>
      </c>
      <c r="E40" s="28"/>
      <c r="F40" s="28"/>
      <c r="G40" s="28"/>
      <c r="H40" s="28"/>
      <c r="I40" s="28"/>
      <c r="J40" s="28"/>
      <c r="K40" s="88"/>
    </row>
    <row r="41" spans="2:11" ht="15.75" thickBot="1" x14ac:dyDescent="0.3">
      <c r="B41" s="27">
        <v>57</v>
      </c>
      <c r="C41" s="28">
        <v>5</v>
      </c>
      <c r="D41" s="28"/>
      <c r="E41" s="28"/>
      <c r="F41" s="28"/>
      <c r="G41" s="28"/>
      <c r="H41" s="28"/>
      <c r="I41" s="28"/>
      <c r="J41" s="28">
        <v>94</v>
      </c>
      <c r="K41" s="88"/>
    </row>
    <row r="42" spans="2:11" ht="15.75" thickBot="1" x14ac:dyDescent="0.3">
      <c r="B42" s="27">
        <v>55</v>
      </c>
      <c r="C42" s="28">
        <v>5</v>
      </c>
      <c r="D42" s="28"/>
      <c r="E42" s="28"/>
      <c r="F42" s="28"/>
      <c r="G42" s="28"/>
      <c r="H42" s="28"/>
      <c r="I42" s="28"/>
      <c r="J42" s="28">
        <v>93</v>
      </c>
      <c r="K42" s="88"/>
    </row>
    <row r="43" spans="2:11" ht="15.75" thickBot="1" x14ac:dyDescent="0.3">
      <c r="B43" s="27">
        <v>54</v>
      </c>
      <c r="C43" s="28">
        <v>5</v>
      </c>
      <c r="D43" s="28"/>
      <c r="E43" s="28">
        <v>14</v>
      </c>
      <c r="F43" s="28">
        <v>11</v>
      </c>
      <c r="G43" s="28"/>
      <c r="H43" s="28"/>
      <c r="I43" s="28"/>
      <c r="J43" s="28">
        <v>92</v>
      </c>
      <c r="K43" s="88"/>
    </row>
    <row r="44" spans="2:11" ht="15.75" thickBot="1" x14ac:dyDescent="0.3">
      <c r="B44" s="27">
        <v>53</v>
      </c>
      <c r="C44" s="28">
        <v>5</v>
      </c>
      <c r="D44" s="28"/>
      <c r="E44" s="28"/>
      <c r="F44" s="28"/>
      <c r="G44" s="28"/>
      <c r="H44" s="28"/>
      <c r="I44" s="28"/>
      <c r="J44" s="28">
        <v>91</v>
      </c>
      <c r="K44" s="88"/>
    </row>
    <row r="45" spans="2:11" ht="15.75" thickBot="1" x14ac:dyDescent="0.3">
      <c r="B45" s="27">
        <v>51</v>
      </c>
      <c r="C45" s="28">
        <v>5</v>
      </c>
      <c r="D45" s="28"/>
      <c r="E45" s="28"/>
      <c r="F45" s="28"/>
      <c r="G45" s="28">
        <v>16</v>
      </c>
      <c r="H45" s="28"/>
      <c r="I45" s="28"/>
      <c r="J45" s="28">
        <v>90</v>
      </c>
      <c r="K45" s="88"/>
    </row>
    <row r="46" spans="2:11" ht="15.75" thickBot="1" x14ac:dyDescent="0.3">
      <c r="B46" s="27">
        <v>49</v>
      </c>
      <c r="C46" s="28">
        <v>5</v>
      </c>
      <c r="D46" s="28">
        <v>23</v>
      </c>
      <c r="E46" s="28"/>
      <c r="F46" s="28"/>
      <c r="G46" s="28"/>
      <c r="H46" s="28"/>
      <c r="I46" s="28">
        <v>13</v>
      </c>
      <c r="J46" s="28"/>
      <c r="K46" s="88"/>
    </row>
    <row r="47" spans="2:11" ht="15.75" thickBot="1" x14ac:dyDescent="0.3">
      <c r="B47" s="27">
        <v>48</v>
      </c>
      <c r="C47" s="28">
        <v>5</v>
      </c>
      <c r="D47" s="28"/>
      <c r="E47" s="28"/>
      <c r="F47" s="28"/>
      <c r="G47" s="28"/>
      <c r="H47" s="28"/>
      <c r="I47" s="28"/>
      <c r="J47" s="28">
        <v>89</v>
      </c>
      <c r="K47" s="88"/>
    </row>
    <row r="48" spans="2:11" ht="15.75" thickBot="1" x14ac:dyDescent="0.3">
      <c r="B48" s="27">
        <v>47</v>
      </c>
      <c r="C48" s="28">
        <v>5</v>
      </c>
      <c r="D48" s="28"/>
      <c r="E48" s="28"/>
      <c r="F48" s="28"/>
      <c r="G48" s="28"/>
      <c r="H48" s="28">
        <v>13</v>
      </c>
      <c r="I48" s="28"/>
      <c r="J48" s="28">
        <v>88</v>
      </c>
      <c r="K48" s="88"/>
    </row>
    <row r="49" spans="2:11" ht="15.75" thickBot="1" x14ac:dyDescent="0.3">
      <c r="B49" s="27">
        <v>46</v>
      </c>
      <c r="C49" s="28">
        <v>5</v>
      </c>
      <c r="D49" s="28"/>
      <c r="E49" s="28"/>
      <c r="F49" s="28"/>
      <c r="G49" s="28"/>
      <c r="H49" s="28"/>
      <c r="I49" s="28"/>
      <c r="J49" s="28">
        <v>87</v>
      </c>
      <c r="K49" s="88"/>
    </row>
    <row r="50" spans="2:11" ht="15.75" thickBot="1" x14ac:dyDescent="0.3">
      <c r="B50" s="27">
        <v>43</v>
      </c>
      <c r="C50" s="28">
        <v>5</v>
      </c>
      <c r="D50" s="28"/>
      <c r="E50" s="28"/>
      <c r="F50" s="28"/>
      <c r="G50" s="28">
        <v>15</v>
      </c>
      <c r="H50" s="28"/>
      <c r="I50" s="28"/>
      <c r="J50" s="28">
        <v>86</v>
      </c>
      <c r="K50" s="88"/>
    </row>
    <row r="51" spans="2:11" ht="15.75" thickBot="1" x14ac:dyDescent="0.3">
      <c r="B51" s="27">
        <v>41</v>
      </c>
      <c r="C51" s="28">
        <v>5</v>
      </c>
      <c r="D51" s="28"/>
      <c r="E51" s="28"/>
      <c r="F51" s="28">
        <v>10</v>
      </c>
      <c r="G51" s="28"/>
      <c r="H51" s="28"/>
      <c r="I51" s="28"/>
      <c r="J51" s="28">
        <v>85</v>
      </c>
      <c r="K51" s="88"/>
    </row>
    <row r="52" spans="2:11" ht="15.75" thickBot="1" x14ac:dyDescent="0.3">
      <c r="B52" s="27">
        <v>40</v>
      </c>
      <c r="C52" s="28">
        <v>5</v>
      </c>
      <c r="D52" s="28">
        <v>22</v>
      </c>
      <c r="E52" s="28"/>
      <c r="F52" s="28"/>
      <c r="G52" s="28"/>
      <c r="H52" s="28"/>
      <c r="I52" s="28"/>
      <c r="J52" s="28"/>
      <c r="K52" s="89"/>
    </row>
    <row r="53" spans="2:11" ht="15.75" thickBot="1" x14ac:dyDescent="0.3">
      <c r="B53" s="29">
        <v>39</v>
      </c>
      <c r="C53" s="30">
        <v>4</v>
      </c>
      <c r="D53" s="30"/>
      <c r="E53" s="30">
        <v>13</v>
      </c>
      <c r="F53" s="30"/>
      <c r="G53" s="30"/>
      <c r="H53" s="30"/>
      <c r="I53" s="30"/>
      <c r="J53" s="30">
        <v>84</v>
      </c>
      <c r="K53" s="90" t="s">
        <v>68</v>
      </c>
    </row>
    <row r="54" spans="2:11" ht="15.75" thickBot="1" x14ac:dyDescent="0.3">
      <c r="B54" s="29">
        <v>37</v>
      </c>
      <c r="C54" s="30">
        <v>4</v>
      </c>
      <c r="D54" s="30"/>
      <c r="E54" s="30"/>
      <c r="F54" s="30"/>
      <c r="G54" s="30"/>
      <c r="H54" s="30"/>
      <c r="I54" s="30"/>
      <c r="J54" s="30">
        <v>83</v>
      </c>
      <c r="K54" s="91"/>
    </row>
    <row r="55" spans="2:11" ht="15.75" thickBot="1" x14ac:dyDescent="0.3">
      <c r="B55" s="29">
        <v>35</v>
      </c>
      <c r="C55" s="30">
        <v>4</v>
      </c>
      <c r="D55" s="30"/>
      <c r="E55" s="30"/>
      <c r="F55" s="30"/>
      <c r="G55" s="30"/>
      <c r="H55" s="30"/>
      <c r="I55" s="30">
        <v>12</v>
      </c>
      <c r="J55" s="30"/>
      <c r="K55" s="91"/>
    </row>
    <row r="56" spans="2:11" ht="15.75" thickBot="1" x14ac:dyDescent="0.3">
      <c r="B56" s="29">
        <v>34</v>
      </c>
      <c r="C56" s="30">
        <v>4</v>
      </c>
      <c r="D56" s="30"/>
      <c r="E56" s="30"/>
      <c r="F56" s="30"/>
      <c r="G56" s="30"/>
      <c r="H56" s="30"/>
      <c r="I56" s="30"/>
      <c r="J56" s="30">
        <v>82</v>
      </c>
      <c r="K56" s="91"/>
    </row>
    <row r="57" spans="2:11" ht="15.75" thickBot="1" x14ac:dyDescent="0.3">
      <c r="B57" s="29">
        <v>32</v>
      </c>
      <c r="C57" s="30">
        <v>4</v>
      </c>
      <c r="D57" s="30">
        <v>21</v>
      </c>
      <c r="E57" s="30"/>
      <c r="F57" s="30"/>
      <c r="G57" s="30">
        <v>14</v>
      </c>
      <c r="H57" s="30">
        <v>12</v>
      </c>
      <c r="I57" s="30"/>
      <c r="J57" s="30">
        <v>81</v>
      </c>
      <c r="K57" s="91"/>
    </row>
    <row r="58" spans="2:11" ht="15.75" thickBot="1" x14ac:dyDescent="0.3">
      <c r="B58" s="29">
        <v>30</v>
      </c>
      <c r="C58" s="30">
        <v>4</v>
      </c>
      <c r="D58" s="30"/>
      <c r="E58" s="30"/>
      <c r="F58" s="30"/>
      <c r="G58" s="30"/>
      <c r="H58" s="30"/>
      <c r="I58" s="30"/>
      <c r="J58" s="30">
        <v>80</v>
      </c>
      <c r="K58" s="91"/>
    </row>
    <row r="59" spans="2:11" ht="15.75" thickBot="1" x14ac:dyDescent="0.3">
      <c r="B59" s="29">
        <v>29</v>
      </c>
      <c r="C59" s="30">
        <v>4</v>
      </c>
      <c r="D59" s="30"/>
      <c r="E59" s="30"/>
      <c r="F59" s="30"/>
      <c r="G59" s="30"/>
      <c r="H59" s="30"/>
      <c r="I59" s="30"/>
      <c r="J59" s="30">
        <v>79</v>
      </c>
      <c r="K59" s="91"/>
    </row>
    <row r="60" spans="2:11" ht="15.75" thickBot="1" x14ac:dyDescent="0.3">
      <c r="B60" s="29">
        <v>28</v>
      </c>
      <c r="C60" s="30">
        <v>4</v>
      </c>
      <c r="D60" s="30"/>
      <c r="E60" s="30"/>
      <c r="F60" s="30"/>
      <c r="G60" s="30"/>
      <c r="H60" s="30"/>
      <c r="I60" s="30"/>
      <c r="J60" s="30">
        <v>78</v>
      </c>
      <c r="K60" s="91"/>
    </row>
    <row r="61" spans="2:11" ht="15.75" thickBot="1" x14ac:dyDescent="0.3">
      <c r="B61" s="29">
        <v>26</v>
      </c>
      <c r="C61" s="30">
        <v>4</v>
      </c>
      <c r="D61" s="30">
        <v>20</v>
      </c>
      <c r="E61" s="30">
        <v>12</v>
      </c>
      <c r="F61" s="30">
        <v>9</v>
      </c>
      <c r="G61" s="30"/>
      <c r="H61" s="30"/>
      <c r="I61" s="30"/>
      <c r="J61" s="30">
        <v>77</v>
      </c>
      <c r="K61" s="92"/>
    </row>
    <row r="62" spans="2:11" ht="15.75" thickBot="1" x14ac:dyDescent="0.3">
      <c r="B62" s="31">
        <v>24</v>
      </c>
      <c r="C62" s="32">
        <v>3</v>
      </c>
      <c r="D62" s="32"/>
      <c r="E62" s="32"/>
      <c r="F62" s="32"/>
      <c r="G62" s="32"/>
      <c r="H62" s="32"/>
      <c r="I62" s="32"/>
      <c r="J62" s="32">
        <v>76</v>
      </c>
      <c r="K62" s="93" t="s">
        <v>69</v>
      </c>
    </row>
    <row r="63" spans="2:11" ht="15.75" thickBot="1" x14ac:dyDescent="0.3">
      <c r="B63" s="31">
        <v>23</v>
      </c>
      <c r="C63" s="32">
        <v>3</v>
      </c>
      <c r="D63" s="32"/>
      <c r="E63" s="32"/>
      <c r="F63" s="32"/>
      <c r="G63" s="32">
        <v>13</v>
      </c>
      <c r="H63" s="32"/>
      <c r="I63" s="32">
        <v>11</v>
      </c>
      <c r="J63" s="32"/>
      <c r="K63" s="94"/>
    </row>
    <row r="64" spans="2:11" ht="15.75" thickBot="1" x14ac:dyDescent="0.3">
      <c r="B64" s="31">
        <v>22</v>
      </c>
      <c r="C64" s="32">
        <v>3</v>
      </c>
      <c r="D64" s="32"/>
      <c r="E64" s="32"/>
      <c r="F64" s="32"/>
      <c r="G64" s="32"/>
      <c r="H64" s="32"/>
      <c r="I64" s="32"/>
      <c r="J64" s="32">
        <v>75</v>
      </c>
      <c r="K64" s="94"/>
    </row>
    <row r="65" spans="2:11" ht="15.75" thickBot="1" x14ac:dyDescent="0.3">
      <c r="B65" s="31">
        <v>21</v>
      </c>
      <c r="C65" s="32">
        <v>3</v>
      </c>
      <c r="D65" s="32">
        <v>19</v>
      </c>
      <c r="E65" s="32"/>
      <c r="F65" s="32"/>
      <c r="G65" s="32"/>
      <c r="H65" s="32"/>
      <c r="I65" s="32"/>
      <c r="J65" s="32"/>
      <c r="K65" s="94"/>
    </row>
    <row r="66" spans="2:11" ht="15.75" thickBot="1" x14ac:dyDescent="0.3">
      <c r="B66" s="31">
        <v>20</v>
      </c>
      <c r="C66" s="32">
        <v>3</v>
      </c>
      <c r="D66" s="32"/>
      <c r="E66" s="32"/>
      <c r="F66" s="32"/>
      <c r="G66" s="32"/>
      <c r="H66" s="32"/>
      <c r="I66" s="32"/>
      <c r="J66" s="32" t="s">
        <v>96</v>
      </c>
      <c r="K66" s="94"/>
    </row>
    <row r="67" spans="2:11" ht="15.75" thickBot="1" x14ac:dyDescent="0.3">
      <c r="B67" s="31">
        <v>19</v>
      </c>
      <c r="C67" s="32">
        <v>3</v>
      </c>
      <c r="D67" s="32"/>
      <c r="E67" s="32"/>
      <c r="F67" s="32"/>
      <c r="G67" s="32"/>
      <c r="H67" s="32"/>
      <c r="I67" s="32"/>
      <c r="J67" s="32">
        <v>72</v>
      </c>
      <c r="K67" s="94"/>
    </row>
    <row r="68" spans="2:11" ht="15.75" thickBot="1" x14ac:dyDescent="0.3">
      <c r="B68" s="31">
        <v>18</v>
      </c>
      <c r="C68" s="32">
        <v>3</v>
      </c>
      <c r="D68" s="32"/>
      <c r="E68" s="32"/>
      <c r="F68" s="32"/>
      <c r="G68" s="32"/>
      <c r="H68" s="32">
        <v>11</v>
      </c>
      <c r="I68" s="32"/>
      <c r="J68" s="32">
        <v>71</v>
      </c>
      <c r="K68" s="94"/>
    </row>
    <row r="69" spans="2:11" ht="15.75" thickBot="1" x14ac:dyDescent="0.3">
      <c r="B69" s="31">
        <v>16</v>
      </c>
      <c r="C69" s="32">
        <v>3</v>
      </c>
      <c r="D69" s="32">
        <v>18</v>
      </c>
      <c r="E69" s="32">
        <v>11</v>
      </c>
      <c r="F69" s="32">
        <v>8</v>
      </c>
      <c r="G69" s="32">
        <v>12</v>
      </c>
      <c r="H69" s="32"/>
      <c r="I69" s="32"/>
      <c r="J69" s="32"/>
      <c r="K69" s="94"/>
    </row>
    <row r="70" spans="2:11" ht="15.75" thickBot="1" x14ac:dyDescent="0.3">
      <c r="B70" s="31">
        <v>15</v>
      </c>
      <c r="C70" s="32">
        <v>2</v>
      </c>
      <c r="D70" s="32"/>
      <c r="E70" s="32"/>
      <c r="F70" s="32"/>
      <c r="G70" s="32"/>
      <c r="H70" s="32"/>
      <c r="I70" s="32"/>
      <c r="J70" s="32">
        <v>70</v>
      </c>
      <c r="K70" s="94"/>
    </row>
    <row r="71" spans="2:11" ht="15.75" thickBot="1" x14ac:dyDescent="0.3">
      <c r="B71" s="31">
        <v>14</v>
      </c>
      <c r="C71" s="32">
        <v>2</v>
      </c>
      <c r="D71" s="32"/>
      <c r="E71" s="32"/>
      <c r="F71" s="32"/>
      <c r="G71" s="32"/>
      <c r="H71" s="32"/>
      <c r="I71" s="32">
        <v>10</v>
      </c>
      <c r="J71" s="32"/>
      <c r="K71" s="94"/>
    </row>
    <row r="72" spans="2:11" ht="15.75" thickBot="1" x14ac:dyDescent="0.3">
      <c r="B72" s="31">
        <v>13</v>
      </c>
      <c r="C72" s="32">
        <v>2</v>
      </c>
      <c r="D72" s="32"/>
      <c r="E72" s="32"/>
      <c r="F72" s="32"/>
      <c r="G72" s="32"/>
      <c r="H72" s="32"/>
      <c r="I72" s="32"/>
      <c r="J72" s="32" t="s">
        <v>97</v>
      </c>
      <c r="K72" s="94"/>
    </row>
    <row r="73" spans="2:11" ht="15.75" thickBot="1" x14ac:dyDescent="0.3">
      <c r="B73" s="31">
        <v>12</v>
      </c>
      <c r="C73" s="32">
        <v>2</v>
      </c>
      <c r="D73" s="32">
        <v>17</v>
      </c>
      <c r="E73" s="32"/>
      <c r="F73" s="32"/>
      <c r="G73" s="32"/>
      <c r="H73" s="32"/>
      <c r="I73" s="32"/>
      <c r="J73" s="32" t="s">
        <v>98</v>
      </c>
      <c r="K73" s="94"/>
    </row>
    <row r="74" spans="2:11" ht="15.75" thickBot="1" x14ac:dyDescent="0.3">
      <c r="B74" s="31">
        <v>11</v>
      </c>
      <c r="C74" s="32">
        <v>2</v>
      </c>
      <c r="D74" s="32"/>
      <c r="E74" s="32"/>
      <c r="F74" s="32"/>
      <c r="G74" s="32">
        <v>11</v>
      </c>
      <c r="H74" s="32"/>
      <c r="I74" s="32"/>
      <c r="J74" s="32">
        <v>65</v>
      </c>
      <c r="K74" s="94"/>
    </row>
    <row r="75" spans="2:11" ht="15.75" thickBot="1" x14ac:dyDescent="0.3">
      <c r="B75" s="31">
        <v>10</v>
      </c>
      <c r="C75" s="32">
        <v>2</v>
      </c>
      <c r="D75" s="32"/>
      <c r="E75" s="32"/>
      <c r="F75" s="32">
        <v>7</v>
      </c>
      <c r="G75" s="32"/>
      <c r="H75" s="32"/>
      <c r="I75" s="32"/>
      <c r="J75" s="32">
        <v>64</v>
      </c>
      <c r="K75" s="94"/>
    </row>
    <row r="76" spans="2:11" ht="15.75" thickBot="1" x14ac:dyDescent="0.3">
      <c r="B76" s="31">
        <v>9</v>
      </c>
      <c r="C76" s="32">
        <v>2</v>
      </c>
      <c r="D76" s="32">
        <v>16</v>
      </c>
      <c r="E76" s="32">
        <v>10</v>
      </c>
      <c r="F76" s="32"/>
      <c r="G76" s="32"/>
      <c r="H76" s="32"/>
      <c r="I76" s="32"/>
      <c r="J76" s="32">
        <v>63</v>
      </c>
      <c r="K76" s="94"/>
    </row>
    <row r="77" spans="2:11" ht="15.75" thickBot="1" x14ac:dyDescent="0.3">
      <c r="B77" s="31">
        <v>8</v>
      </c>
      <c r="C77" s="32">
        <v>2</v>
      </c>
      <c r="D77" s="32"/>
      <c r="E77" s="32"/>
      <c r="F77" s="32"/>
      <c r="G77" s="32"/>
      <c r="H77" s="32">
        <v>10</v>
      </c>
      <c r="I77" s="32">
        <v>9</v>
      </c>
      <c r="J77" s="32">
        <v>62</v>
      </c>
      <c r="K77" s="94"/>
    </row>
    <row r="78" spans="2:11" ht="15.75" thickBot="1" x14ac:dyDescent="0.3">
      <c r="B78" s="31">
        <v>7</v>
      </c>
      <c r="C78" s="32">
        <v>2</v>
      </c>
      <c r="D78" s="32">
        <v>15</v>
      </c>
      <c r="E78" s="32"/>
      <c r="F78" s="32"/>
      <c r="G78" s="32"/>
      <c r="H78" s="32"/>
      <c r="I78" s="32"/>
      <c r="J78" s="32" t="s">
        <v>99</v>
      </c>
      <c r="K78" s="95"/>
    </row>
    <row r="79" spans="2:11" ht="15.75" thickBot="1" x14ac:dyDescent="0.3">
      <c r="B79" s="33">
        <v>6</v>
      </c>
      <c r="C79" s="34">
        <v>1</v>
      </c>
      <c r="D79" s="34"/>
      <c r="E79" s="34"/>
      <c r="F79" s="34">
        <v>6</v>
      </c>
      <c r="G79" s="34">
        <v>10</v>
      </c>
      <c r="H79" s="34"/>
      <c r="I79" s="34"/>
      <c r="J79" s="34" t="s">
        <v>100</v>
      </c>
      <c r="K79" s="71" t="s">
        <v>74</v>
      </c>
    </row>
    <row r="80" spans="2:11" ht="15.75" thickBot="1" x14ac:dyDescent="0.3">
      <c r="B80" s="33">
        <v>5</v>
      </c>
      <c r="C80" s="34">
        <v>1</v>
      </c>
      <c r="D80" s="34">
        <v>14</v>
      </c>
      <c r="E80" s="34">
        <v>9</v>
      </c>
      <c r="F80" s="34"/>
      <c r="G80" s="34"/>
      <c r="H80" s="34"/>
      <c r="I80" s="34">
        <v>8</v>
      </c>
      <c r="J80" s="34">
        <v>57</v>
      </c>
      <c r="K80" s="72"/>
    </row>
    <row r="81" spans="2:11" ht="15.75" thickBot="1" x14ac:dyDescent="0.3">
      <c r="B81" s="33">
        <v>4</v>
      </c>
      <c r="C81" s="34">
        <v>1</v>
      </c>
      <c r="D81" s="34"/>
      <c r="E81" s="34" t="s">
        <v>101</v>
      </c>
      <c r="F81" s="34"/>
      <c r="G81" s="34"/>
      <c r="H81" s="34"/>
      <c r="I81" s="34">
        <v>7</v>
      </c>
      <c r="J81" s="34" t="s">
        <v>102</v>
      </c>
      <c r="K81" s="72"/>
    </row>
    <row r="82" spans="2:11" ht="15.75" thickBot="1" x14ac:dyDescent="0.3">
      <c r="B82" s="33">
        <v>3</v>
      </c>
      <c r="C82" s="34">
        <v>1</v>
      </c>
      <c r="D82" s="34">
        <v>13</v>
      </c>
      <c r="E82" s="34">
        <v>8</v>
      </c>
      <c r="F82" s="34">
        <v>5</v>
      </c>
      <c r="G82" s="34"/>
      <c r="H82" s="34">
        <v>9</v>
      </c>
      <c r="I82" s="34">
        <v>6</v>
      </c>
      <c r="J82" s="34" t="s">
        <v>103</v>
      </c>
      <c r="K82" s="72"/>
    </row>
    <row r="83" spans="2:11" ht="15.75" thickBot="1" x14ac:dyDescent="0.3">
      <c r="B83" s="33">
        <v>2</v>
      </c>
      <c r="C83" s="34">
        <v>1</v>
      </c>
      <c r="D83" s="34"/>
      <c r="E83" s="34"/>
      <c r="F83" s="34"/>
      <c r="G83" s="34" t="s">
        <v>104</v>
      </c>
      <c r="H83" s="34"/>
      <c r="I83" s="34">
        <v>5</v>
      </c>
      <c r="J83" s="34" t="s">
        <v>105</v>
      </c>
      <c r="K83" s="72"/>
    </row>
    <row r="84" spans="2:11" ht="15.75" thickBot="1" x14ac:dyDescent="0.3">
      <c r="B84" s="33">
        <v>1</v>
      </c>
      <c r="C84" s="34">
        <v>1</v>
      </c>
      <c r="D84" s="34">
        <v>12</v>
      </c>
      <c r="E84" s="34">
        <v>7</v>
      </c>
      <c r="F84" s="34">
        <v>4</v>
      </c>
      <c r="G84" s="34">
        <v>7</v>
      </c>
      <c r="H84" s="34">
        <v>8</v>
      </c>
      <c r="I84" s="34">
        <v>4</v>
      </c>
      <c r="J84" s="34" t="s">
        <v>106</v>
      </c>
      <c r="K84" s="72"/>
    </row>
    <row r="85" spans="2:11" ht="15.75" thickBot="1" x14ac:dyDescent="0.3">
      <c r="B85" s="33">
        <v>0.3</v>
      </c>
      <c r="C85" s="34">
        <v>1</v>
      </c>
      <c r="D85" s="34">
        <v>11</v>
      </c>
      <c r="E85" s="34">
        <v>6</v>
      </c>
      <c r="F85" s="34"/>
      <c r="G85" s="34">
        <v>6</v>
      </c>
      <c r="H85" s="34">
        <v>7</v>
      </c>
      <c r="I85" s="34"/>
      <c r="J85" s="34">
        <v>38</v>
      </c>
      <c r="K85" s="73"/>
    </row>
  </sheetData>
  <sheetProtection algorithmName="SHA-512" hashValue="xIPbfAbovezS+k5+0Xbe9Mss5w/UFURAawrMyt0Lxo7KSENUSOUKR8v6U5K+KVEAjeRQqu+JNFNi5L9mcJV+lw==" saltValue="ij87V1Jr92vshWTd3R+jFw==" spinCount="100000" sheet="1" scenarios="1"/>
  <mergeCells count="9">
    <mergeCell ref="K79:K85"/>
    <mergeCell ref="B6:E6"/>
    <mergeCell ref="H6:K6"/>
    <mergeCell ref="K9:K11"/>
    <mergeCell ref="K12:K28"/>
    <mergeCell ref="K29:K37"/>
    <mergeCell ref="K38:K52"/>
    <mergeCell ref="K53:K61"/>
    <mergeCell ref="K62:K78"/>
  </mergeCells>
  <pageMargins left="0.7" right="0.7" top="0.75" bottom="0.75" header="0.3" footer="0.3"/>
  <pageSetup paperSize="256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CUESTIONARIO</vt:lpstr>
      <vt:lpstr>RESULTADOS</vt:lpstr>
      <vt:lpstr>HOMBRES</vt:lpstr>
      <vt:lpstr>MUJERES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</dc:creator>
  <cp:lastModifiedBy>Isa</cp:lastModifiedBy>
  <cp:lastPrinted>2016-04-21T15:38:22Z</cp:lastPrinted>
  <dcterms:created xsi:type="dcterms:W3CDTF">2016-04-21T03:11:56Z</dcterms:created>
  <dcterms:modified xsi:type="dcterms:W3CDTF">2016-05-01T17:30:42Z</dcterms:modified>
</cp:coreProperties>
</file>